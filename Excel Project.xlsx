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i hari\Documents\"/>
    </mc:Choice>
  </mc:AlternateContent>
  <xr:revisionPtr revIDLastSave="0" documentId="8_{B2A2F845-BDCF-41D7-B948-BA26E506EF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heet1" sheetId="1" r:id="rId2"/>
  </sheets>
  <definedNames>
    <definedName name="_xlnm._FilterDatabase" localSheetId="1" hidden="1">Sheet1!$A$1:$M$60</definedName>
  </definedNames>
  <calcPr calcId="191029"/>
  <pivotCaches>
    <pivotCache cacheId="23" r:id="rId3"/>
  </pivotCaches>
</workbook>
</file>

<file path=xl/calcChain.xml><?xml version="1.0" encoding="utf-8"?>
<calcChain xmlns="http://schemas.openxmlformats.org/spreadsheetml/2006/main">
  <c r="C62" i="1" l="1"/>
  <c r="C61" i="1"/>
  <c r="A61" i="1"/>
  <c r="J61" i="1"/>
  <c r="D61" i="1"/>
</calcChain>
</file>

<file path=xl/sharedStrings.xml><?xml version="1.0" encoding="utf-8"?>
<sst xmlns="http://schemas.openxmlformats.org/spreadsheetml/2006/main" count="520" uniqueCount="206">
  <si>
    <t>Sl No</t>
  </si>
  <si>
    <t>Student name</t>
  </si>
  <si>
    <t>mobile brand</t>
  </si>
  <si>
    <t>Number of languages known</t>
  </si>
  <si>
    <t>Mobile Brand</t>
  </si>
  <si>
    <t>Preffered time of study</t>
  </si>
  <si>
    <t>Gender</t>
  </si>
  <si>
    <t>social media often use</t>
  </si>
  <si>
    <t>state</t>
  </si>
  <si>
    <t>how much you wish to earn per month (numbers)</t>
  </si>
  <si>
    <t>caffeine intake (number of cups per day)</t>
  </si>
  <si>
    <t>mother tongue</t>
  </si>
  <si>
    <t>github link</t>
  </si>
  <si>
    <t>AARYAN HARISH</t>
  </si>
  <si>
    <t>Apple</t>
  </si>
  <si>
    <t>Laptop</t>
  </si>
  <si>
    <t>morning</t>
  </si>
  <si>
    <t>male</t>
  </si>
  <si>
    <t>instagram</t>
  </si>
  <si>
    <t>Karnataka</t>
  </si>
  <si>
    <t>hindi</t>
  </si>
  <si>
    <t>https://github.com/lilution95/L-T-DA-PY.git</t>
  </si>
  <si>
    <t>A BELl SAM DEVASIRVATHAM W</t>
  </si>
  <si>
    <t>Samsung</t>
  </si>
  <si>
    <t>anytime</t>
  </si>
  <si>
    <t>infinite</t>
  </si>
  <si>
    <t>tamil</t>
  </si>
  <si>
    <t>https://github.com/abelsam-mech/basic-data-analytics</t>
  </si>
  <si>
    <t>ATHUL EMMANUEL STEPHEN</t>
  </si>
  <si>
    <t>Evening</t>
  </si>
  <si>
    <t>malalayam</t>
  </si>
  <si>
    <t>IVAN JOHN</t>
  </si>
  <si>
    <t>Mobile</t>
  </si>
  <si>
    <t>Male</t>
  </si>
  <si>
    <t>WhatsApp</t>
  </si>
  <si>
    <t>Kannada</t>
  </si>
  <si>
    <t>https://github.com/ivaxn/L-T</t>
  </si>
  <si>
    <t>MEVIN VINCENT</t>
  </si>
  <si>
    <t>SHANE CHRISTOPHER</t>
  </si>
  <si>
    <t>One plus</t>
  </si>
  <si>
    <t>night</t>
  </si>
  <si>
    <t>Instagram</t>
  </si>
  <si>
    <t>https://github.com/shanechristopher24/l-t1</t>
  </si>
  <si>
    <t>ISAAC KURIAN DAVID</t>
  </si>
  <si>
    <t>Motorola</t>
  </si>
  <si>
    <t>evening</t>
  </si>
  <si>
    <t>LALITH CHOUDHARY</t>
  </si>
  <si>
    <t>Xiaomi</t>
  </si>
  <si>
    <t>JASWANTH B</t>
  </si>
  <si>
    <t>vivo</t>
  </si>
  <si>
    <t>PC</t>
  </si>
  <si>
    <t>Whatsapp</t>
  </si>
  <si>
    <t>Telugu</t>
  </si>
  <si>
    <t>https://github.com/jaswanthb-lgtm/l-t</t>
  </si>
  <si>
    <t>ALFONDER WARJRI</t>
  </si>
  <si>
    <t>Realme</t>
  </si>
  <si>
    <t>Meghalaya</t>
  </si>
  <si>
    <t>Khasi</t>
  </si>
  <si>
    <t>https://github.com/alfonderwarjri-design/alfonderwarjri.git</t>
  </si>
  <si>
    <t>ARAV BHATIA</t>
  </si>
  <si>
    <t>Punjab</t>
  </si>
  <si>
    <t>Hindi</t>
  </si>
  <si>
    <t>https://github.com/aravbhatia303/L-T-DATA-ANALYTICS-NOV.git</t>
  </si>
  <si>
    <t>HARIN S PRASAD</t>
  </si>
  <si>
    <t>https://github.com/harinsprasad/programming-in-data-analytics-4th-sem</t>
  </si>
  <si>
    <t>KISHEN RAJ</t>
  </si>
  <si>
    <t>oppo</t>
  </si>
  <si>
    <t>Tamil</t>
  </si>
  <si>
    <t>https://github.com/rajkishen531-byte/kishen-raj</t>
  </si>
  <si>
    <t>SHREERAM K</t>
  </si>
  <si>
    <t>Nothing</t>
  </si>
  <si>
    <t>pc</t>
  </si>
  <si>
    <t>kerala</t>
  </si>
  <si>
    <t>https://github.com/Shreearm-Btech/assignment1</t>
  </si>
  <si>
    <t>NAOKHOMBA KHANGEMBAM</t>
  </si>
  <si>
    <t>laptop</t>
  </si>
  <si>
    <t>Anytime</t>
  </si>
  <si>
    <t xml:space="preserve">instagram </t>
  </si>
  <si>
    <t>Manipur</t>
  </si>
  <si>
    <t>manipuri</t>
  </si>
  <si>
    <t>DANIEL LUNGOUCHUON HAOKIP</t>
  </si>
  <si>
    <t>apple</t>
  </si>
  <si>
    <t>whatsapp</t>
  </si>
  <si>
    <t>manipur</t>
  </si>
  <si>
    <t>thadou</t>
  </si>
  <si>
    <t>https://github.com/daniellungouchon-art/Daniel241125.git</t>
  </si>
  <si>
    <t>JISS JAMES</t>
  </si>
  <si>
    <t>Night</t>
  </si>
  <si>
    <t>Kerala</t>
  </si>
  <si>
    <t>https://github.com/JissJames-ark/Assesement-1-.git</t>
  </si>
  <si>
    <t>THARANAA S J</t>
  </si>
  <si>
    <t>female</t>
  </si>
  <si>
    <t>tamil nadu</t>
  </si>
  <si>
    <t>DEEBADHARSHAN S</t>
  </si>
  <si>
    <t>telugu</t>
  </si>
  <si>
    <t>SHIYAVUL IRFAN S</t>
  </si>
  <si>
    <t>PRATYAKSH SHARMA</t>
  </si>
  <si>
    <t>No study</t>
  </si>
  <si>
    <t>Delhi</t>
  </si>
  <si>
    <t>https://github.com/pratyaksh-07/Pratyaksh-sharma--2460423</t>
  </si>
  <si>
    <t>ANUSHKA BANDI</t>
  </si>
  <si>
    <t>never</t>
  </si>
  <si>
    <t>Female</t>
  </si>
  <si>
    <t>karnataka</t>
  </si>
  <si>
    <t>AP ANN FIONA</t>
  </si>
  <si>
    <t>Nokia</t>
  </si>
  <si>
    <t>CEANA JASMINE C</t>
  </si>
  <si>
    <t>Poco</t>
  </si>
  <si>
    <t>kannada</t>
  </si>
  <si>
    <t>https://github.com/ceanajasmine-oss/DATA-ANALYTICS</t>
  </si>
  <si>
    <t>DEVALEKHA M</t>
  </si>
  <si>
    <t>H MOHAMMED ABHISHEIK</t>
  </si>
  <si>
    <t>Tamil Nadu</t>
  </si>
  <si>
    <t>https://github.com/hmohammed-cpu/4th-Sem-Progfordataanalytics.git</t>
  </si>
  <si>
    <t>J MINTOPRABHU</t>
  </si>
  <si>
    <t>https://github.com/jmintoprabhu-crypto/4BTEC.git</t>
  </si>
  <si>
    <t>KAVIN KIRTHICK R</t>
  </si>
  <si>
    <t>none</t>
  </si>
  <si>
    <t>https://github.com/kavinkirthick/Kavin-Kirthick-Simple-Test/blob/main/Kavin%20Kirthick.docx</t>
  </si>
  <si>
    <t>KHUSHI N</t>
  </si>
  <si>
    <t>https://github.com/khushin-collab/Data-Set</t>
  </si>
  <si>
    <t>SHON VARGHESE</t>
  </si>
  <si>
    <t>Day</t>
  </si>
  <si>
    <t>TARUN SAM EMMANUEL</t>
  </si>
  <si>
    <t>One Plus</t>
  </si>
  <si>
    <t>Morning</t>
  </si>
  <si>
    <t>https://github.com/Tarun-Sam/LnT-Data-Analytics-Exercise</t>
  </si>
  <si>
    <t>CHAITHRA S</t>
  </si>
  <si>
    <t>https://github.com/Chaithras1718/Data-Analytics</t>
  </si>
  <si>
    <t>DEVIKA V</t>
  </si>
  <si>
    <t>Vivo</t>
  </si>
  <si>
    <t>https://github.com/Devikav61/Data-analysis</t>
  </si>
  <si>
    <t>SUNAINA PATRO</t>
  </si>
  <si>
    <t>Odisha</t>
  </si>
  <si>
    <t>oriya</t>
  </si>
  <si>
    <t>https://github.com/sunainaaaa14/DA-cia1</t>
  </si>
  <si>
    <t>\</t>
  </si>
  <si>
    <t>ANAN MATHEW</t>
  </si>
  <si>
    <t>iqoo</t>
  </si>
  <si>
    <t>https://github.com/ananmathew/data-analytics-excel/blob/main/Anan%20Mathew-Programing%20for%20Data%20Analytics.docx</t>
  </si>
  <si>
    <t>JOSHUA JOHN V</t>
  </si>
  <si>
    <t>Infinix</t>
  </si>
  <si>
    <t>https://github.com/josh-911/DATA_ANALYTICS_EXCERCISE</t>
  </si>
  <si>
    <t>SHAIVI</t>
  </si>
  <si>
    <t>KISHORE R</t>
  </si>
  <si>
    <t>iQOO</t>
  </si>
  <si>
    <t>INSTAGRAM</t>
  </si>
  <si>
    <t>https://github.com/kishore066/4BTEE.git</t>
  </si>
  <si>
    <t>ALBIN REGI JOHN</t>
  </si>
  <si>
    <t>MALE</t>
  </si>
  <si>
    <t>KERALA</t>
  </si>
  <si>
    <t>https://github.com/albinregi-hub/DATA-ANALYSTICS-CIA-/blob/main/L%26T%20ASSIGNMENT.docx</t>
  </si>
  <si>
    <t>ARPITHA RAICHEL JACOB</t>
  </si>
  <si>
    <t>https://github.com/arpithajacob02/Assessment-1</t>
  </si>
  <si>
    <t>ARUN R NAIR</t>
  </si>
  <si>
    <t>INSATAGRAM</t>
  </si>
  <si>
    <t>MALAYALAM</t>
  </si>
  <si>
    <t>https://github.com/arunrnair1709/Data-Analytics.git</t>
  </si>
  <si>
    <t>ASHISH JAISON</t>
  </si>
  <si>
    <t>https://github.com/Ashish2462609/Assessment</t>
  </si>
  <si>
    <t>KANISHK M</t>
  </si>
  <si>
    <t>malayalam</t>
  </si>
  <si>
    <t>https://github.com/kanishkm-ux/Fundamentals-of-Data-Analytics-Project/tree/main</t>
  </si>
  <si>
    <t>S ANAHITH</t>
  </si>
  <si>
    <t>PIXEL</t>
  </si>
  <si>
    <t>There's no limit to that</t>
  </si>
  <si>
    <t>JIS MARIYA JOSE</t>
  </si>
  <si>
    <t>https://github.com/jismariya-eng/Data-Analytics-L-T/blob/Assignment-1/Jis_Mariya_Jose_2462633.docx</t>
  </si>
  <si>
    <t>HARSHITH V</t>
  </si>
  <si>
    <t>VIVO</t>
  </si>
  <si>
    <t>BENSON SAJI VARGHESE</t>
  </si>
  <si>
    <t>Malayalam</t>
  </si>
  <si>
    <t>https://github.com/benson-sv/Data-analytics/actions/new</t>
  </si>
  <si>
    <t>HARSHITH K AHUJA</t>
  </si>
  <si>
    <t>mts</t>
  </si>
  <si>
    <t>THISHAN S</t>
  </si>
  <si>
    <t>REALME</t>
  </si>
  <si>
    <t>2,00,000</t>
  </si>
  <si>
    <t>https://github.com/Thishan-22/Data-analytics-</t>
  </si>
  <si>
    <t>NANDISH P</t>
  </si>
  <si>
    <t>ONEPLUS</t>
  </si>
  <si>
    <t>1,92,000</t>
  </si>
  <si>
    <t>https://github.com/nandish-debug/data-analytics-</t>
  </si>
  <si>
    <t>NITHISH KRISHNA S</t>
  </si>
  <si>
    <t>https://github.com/nithusangy11/Data-Analytics-4th-Sem</t>
  </si>
  <si>
    <t>AARON THOMAS MAJU</t>
  </si>
  <si>
    <t>https://github.com/aaronthomasmaju-lab/Fundamental-of-Data-Analytics-Project-3</t>
  </si>
  <si>
    <t>AHSAN IBRAHIM</t>
  </si>
  <si>
    <t>NEIL TOM ANTONY</t>
  </si>
  <si>
    <t>SANKET DEEPAK HAMPANNAVAR</t>
  </si>
  <si>
    <t>SUSHMITHA SHYAM PRASAD</t>
  </si>
  <si>
    <t>https://github.com/sushmithashyam-png/Data-Set</t>
  </si>
  <si>
    <t>SHERON SREE SAI A S</t>
  </si>
  <si>
    <t>KRISHNA SUBHASH</t>
  </si>
  <si>
    <t>M.TARAK RAM REDDY</t>
  </si>
  <si>
    <t>BLACKBERRY</t>
  </si>
  <si>
    <t>Book</t>
  </si>
  <si>
    <t>EVENING</t>
  </si>
  <si>
    <t>Telangana</t>
  </si>
  <si>
    <t>(blank)</t>
  </si>
  <si>
    <t>Sum of Number of languages known</t>
  </si>
  <si>
    <t>Row Labels</t>
  </si>
  <si>
    <t>Grand Total</t>
  </si>
  <si>
    <t>Count of mobile brand</t>
  </si>
  <si>
    <t>Column Labels</t>
  </si>
  <si>
    <t>Count of Preffered time of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</si>
</sst>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rgb="FF222222"/>
      <name val="Calibri"/>
    </font>
    <font>
      <sz val="11"/>
      <color rgb="FF222222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9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/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0" xfId="0" applyFont="1" applyFill="1"/>
    <xf numFmtId="0" fontId="1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Project.xlsx]Sheet2!PivotTable15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52</c:v>
                </c:pt>
                <c:pt idx="1">
                  <c:v>139</c:v>
                </c:pt>
                <c:pt idx="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3-4346-BAB7-598648D1D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801816"/>
        <c:axId val="591798936"/>
      </c:lineChart>
      <c:catAx>
        <c:axId val="59180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798936"/>
        <c:crosses val="autoZero"/>
        <c:auto val="1"/>
        <c:lblAlgn val="ctr"/>
        <c:lblOffset val="100"/>
        <c:noMultiLvlLbl val="0"/>
      </c:catAx>
      <c:valAx>
        <c:axId val="59179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0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Project.xlsx]Sheet2!PivotTable16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Sheet2!$B$19:$B$20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Sheet2!$A$21:$A$29</c:f>
              <c:strCache>
                <c:ptCount val="8"/>
                <c:pt idx="0">
                  <c:v>anytime</c:v>
                </c:pt>
                <c:pt idx="1">
                  <c:v>Day</c:v>
                </c:pt>
                <c:pt idx="2">
                  <c:v>Evening</c:v>
                </c:pt>
                <c:pt idx="3">
                  <c:v>morning</c:v>
                </c:pt>
                <c:pt idx="4">
                  <c:v>never</c:v>
                </c:pt>
                <c:pt idx="5">
                  <c:v>night</c:v>
                </c:pt>
                <c:pt idx="6">
                  <c:v>No study</c:v>
                </c:pt>
                <c:pt idx="7">
                  <c:v>(blank)</c:v>
                </c:pt>
              </c:strCache>
            </c:strRef>
          </c:cat>
          <c:val>
            <c:numRef>
              <c:f>Sheet2!$B$21:$B$29</c:f>
              <c:numCache>
                <c:formatCode>General</c:formatCode>
                <c:ptCount val="8"/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4-4D18-96E9-802817DE9B01}"/>
            </c:ext>
          </c:extLst>
        </c:ser>
        <c:ser>
          <c:idx val="1"/>
          <c:order val="1"/>
          <c:tx>
            <c:strRef>
              <c:f>Sheet2!$C$19:$C$20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Sheet2!$A$21:$A$29</c:f>
              <c:strCache>
                <c:ptCount val="8"/>
                <c:pt idx="0">
                  <c:v>anytime</c:v>
                </c:pt>
                <c:pt idx="1">
                  <c:v>Day</c:v>
                </c:pt>
                <c:pt idx="2">
                  <c:v>Evening</c:v>
                </c:pt>
                <c:pt idx="3">
                  <c:v>morning</c:v>
                </c:pt>
                <c:pt idx="4">
                  <c:v>never</c:v>
                </c:pt>
                <c:pt idx="5">
                  <c:v>night</c:v>
                </c:pt>
                <c:pt idx="6">
                  <c:v>No study</c:v>
                </c:pt>
                <c:pt idx="7">
                  <c:v>(blank)</c:v>
                </c:pt>
              </c:strCache>
            </c:strRef>
          </c:cat>
          <c:val>
            <c:numRef>
              <c:f>Sheet2!$C$21:$C$29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12</c:v>
                </c:pt>
                <c:pt idx="3">
                  <c:v>5</c:v>
                </c:pt>
                <c:pt idx="5">
                  <c:v>14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4-4D18-96E9-802817DE9B01}"/>
            </c:ext>
          </c:extLst>
        </c:ser>
        <c:ser>
          <c:idx val="2"/>
          <c:order val="2"/>
          <c:tx>
            <c:strRef>
              <c:f>Sheet2!$D$19:$D$20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Sheet2!$A$21:$A$29</c:f>
              <c:strCache>
                <c:ptCount val="8"/>
                <c:pt idx="0">
                  <c:v>anytime</c:v>
                </c:pt>
                <c:pt idx="1">
                  <c:v>Day</c:v>
                </c:pt>
                <c:pt idx="2">
                  <c:v>Evening</c:v>
                </c:pt>
                <c:pt idx="3">
                  <c:v>morning</c:v>
                </c:pt>
                <c:pt idx="4">
                  <c:v>never</c:v>
                </c:pt>
                <c:pt idx="5">
                  <c:v>night</c:v>
                </c:pt>
                <c:pt idx="6">
                  <c:v>No study</c:v>
                </c:pt>
                <c:pt idx="7">
                  <c:v>(blank)</c:v>
                </c:pt>
              </c:strCache>
            </c:strRef>
          </c:cat>
          <c:val>
            <c:numRef>
              <c:f>Sheet2!$D$21:$D$29</c:f>
              <c:numCache>
                <c:formatCode>General</c:formatCode>
                <c:ptCount val="8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B4-4D18-96E9-802817DE9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261688"/>
        <c:axId val="592267808"/>
      </c:barChart>
      <c:catAx>
        <c:axId val="59226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67808"/>
        <c:crosses val="autoZero"/>
        <c:auto val="1"/>
        <c:lblAlgn val="ctr"/>
        <c:lblOffset val="100"/>
        <c:noMultiLvlLbl val="0"/>
      </c:catAx>
      <c:valAx>
        <c:axId val="5922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6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Project.xlsx]Sheet2!PivotTable17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Sheet2!$A$39:$A$57</c:f>
              <c:strCache>
                <c:ptCount val="18"/>
                <c:pt idx="0">
                  <c:v>Apple</c:v>
                </c:pt>
                <c:pt idx="1">
                  <c:v>BLACKBERRY</c:v>
                </c:pt>
                <c:pt idx="2">
                  <c:v>Infinix</c:v>
                </c:pt>
                <c:pt idx="3">
                  <c:v>iqoo</c:v>
                </c:pt>
                <c:pt idx="4">
                  <c:v>Motorola</c:v>
                </c:pt>
                <c:pt idx="5">
                  <c:v>mts</c:v>
                </c:pt>
                <c:pt idx="6">
                  <c:v>Nokia</c:v>
                </c:pt>
                <c:pt idx="7">
                  <c:v>Nothing</c:v>
                </c:pt>
                <c:pt idx="8">
                  <c:v>One plus</c:v>
                </c:pt>
                <c:pt idx="9">
                  <c:v>ONEPLUS</c:v>
                </c:pt>
                <c:pt idx="10">
                  <c:v>oppo</c:v>
                </c:pt>
                <c:pt idx="11">
                  <c:v>PIXEL</c:v>
                </c:pt>
                <c:pt idx="12">
                  <c:v>Poco</c:v>
                </c:pt>
                <c:pt idx="13">
                  <c:v>Realme</c:v>
                </c:pt>
                <c:pt idx="14">
                  <c:v>Samsung</c:v>
                </c:pt>
                <c:pt idx="15">
                  <c:v>vivo</c:v>
                </c:pt>
                <c:pt idx="16">
                  <c:v>Xiaomi</c:v>
                </c:pt>
                <c:pt idx="17">
                  <c:v>(blank)</c:v>
                </c:pt>
              </c:strCache>
            </c:strRef>
          </c:cat>
          <c:val>
            <c:numRef>
              <c:f>Sheet2!$B$39:$B$57</c:f>
              <c:numCache>
                <c:formatCode>General</c:formatCode>
                <c:ptCount val="18"/>
                <c:pt idx="0">
                  <c:v>16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10</c:v>
                </c:pt>
                <c:pt idx="15">
                  <c:v>6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7-462E-9149-7556783C8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156210</xdr:rowOff>
    </xdr:from>
    <xdr:to>
      <xdr:col>10</xdr:col>
      <xdr:colOff>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2E8EF-51D7-ABDE-A1F5-59261EEAB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17</xdr:row>
      <xdr:rowOff>163830</xdr:rowOff>
    </xdr:from>
    <xdr:to>
      <xdr:col>13</xdr:col>
      <xdr:colOff>7620</xdr:colOff>
      <xdr:row>33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5CE679-A463-A1D7-B36B-0A2E87988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36</xdr:row>
      <xdr:rowOff>156210</xdr:rowOff>
    </xdr:from>
    <xdr:to>
      <xdr:col>10</xdr:col>
      <xdr:colOff>7620</xdr:colOff>
      <xdr:row>52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BD3360-CFE9-E84A-445E-288956ACF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 hari" refreshedDate="45992.369403009259" createdVersion="8" refreshedVersion="8" minRefreshableVersion="3" recordCount="59" xr:uid="{5A03ED88-16A0-4FE3-A910-A502244EAB60}">
  <cacheSource type="worksheet">
    <worksheetSource ref="A1:M60" sheet="Sheet1"/>
  </cacheSource>
  <cacheFields count="13">
    <cacheField name="Sl No" numFmtId="0">
      <sharedItems containsSemiMixedTypes="0" containsString="0" containsNumber="1" containsInteger="1" minValue="1" maxValue="60"/>
    </cacheField>
    <cacheField name="Student name" numFmtId="0">
      <sharedItems/>
    </cacheField>
    <cacheField name="mobile brand" numFmtId="0">
      <sharedItems containsBlank="1" count="18">
        <s v="Apple"/>
        <s v="Samsung"/>
        <m/>
        <s v="One plus"/>
        <s v="Motorola"/>
        <s v="Xiaomi"/>
        <s v="vivo"/>
        <s v="Realme"/>
        <s v="oppo"/>
        <s v="Nothing"/>
        <s v="Nokia"/>
        <s v="Poco"/>
        <s v="iqoo"/>
        <s v="Infinix"/>
        <s v="PIXEL"/>
        <s v="mts"/>
        <s v="ONEPLUS"/>
        <s v="BLACKBERRY"/>
      </sharedItems>
    </cacheField>
    <cacheField name="Number of languages known" numFmtId="0">
      <sharedItems containsString="0" containsBlank="1" containsNumber="1" containsInteger="1" minValue="2" maxValue="10"/>
    </cacheField>
    <cacheField name="Mobile Brand2" numFmtId="0">
      <sharedItems containsBlank="1"/>
    </cacheField>
    <cacheField name="Preffered time of study" numFmtId="0">
      <sharedItems containsBlank="1" count="8">
        <s v="morning"/>
        <s v="anytime"/>
        <s v="Evening"/>
        <m/>
        <s v="night"/>
        <s v="No study"/>
        <s v="never"/>
        <s v="Day"/>
      </sharedItems>
    </cacheField>
    <cacheField name="Gender" numFmtId="0">
      <sharedItems containsBlank="1" count="3">
        <s v="male"/>
        <m/>
        <s v="female"/>
      </sharedItems>
    </cacheField>
    <cacheField name="social media often use" numFmtId="0">
      <sharedItems containsBlank="1"/>
    </cacheField>
    <cacheField name="state" numFmtId="0">
      <sharedItems containsBlank="1"/>
    </cacheField>
    <cacheField name="how much you wish to earn per month (numbers)" numFmtId="0">
      <sharedItems containsBlank="1" containsMixedTypes="1" containsNumber="1" containsInteger="1" minValue="0" maxValue="1000000000"/>
    </cacheField>
    <cacheField name="caffeine intake (number of cups per day)" numFmtId="0">
      <sharedItems containsBlank="1" containsMixedTypes="1" containsNumber="1" containsInteger="1" minValue="0" maxValue="10"/>
    </cacheField>
    <cacheField name="mother tongue" numFmtId="0">
      <sharedItems containsBlank="1"/>
    </cacheField>
    <cacheField name="github 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"/>
    <s v="AARYAN HARISH"/>
    <x v="0"/>
    <n v="3"/>
    <s v="Laptop"/>
    <x v="0"/>
    <x v="0"/>
    <s v="instagram"/>
    <s v="Karnataka"/>
    <n v="2000"/>
    <n v="0"/>
    <s v="hindi"/>
    <s v="https://github.com/lilution95/L-T-DA-PY.git"/>
  </r>
  <r>
    <n v="2"/>
    <s v="A BELl SAM DEVASIRVATHAM W"/>
    <x v="1"/>
    <n v="4"/>
    <s v="Laptop"/>
    <x v="1"/>
    <x v="0"/>
    <s v="instagram"/>
    <s v="Karnataka"/>
    <s v="infinite"/>
    <s v="infinite"/>
    <s v="tamil"/>
    <s v="https://github.com/abelsam-mech/basic-data-analytics"/>
  </r>
  <r>
    <n v="3"/>
    <s v="ATHUL EMMANUEL STEPHEN"/>
    <x v="1"/>
    <n v="5"/>
    <s v="Laptop"/>
    <x v="2"/>
    <x v="0"/>
    <s v="instagram"/>
    <m/>
    <n v="1000000"/>
    <n v="3"/>
    <s v="malalayam"/>
    <m/>
  </r>
  <r>
    <n v="4"/>
    <s v="IVAN JOHN"/>
    <x v="0"/>
    <n v="4"/>
    <s v="Mobile"/>
    <x v="2"/>
    <x v="0"/>
    <s v="WhatsApp"/>
    <s v="Karnataka"/>
    <n v="100"/>
    <n v="0"/>
    <s v="Kannada"/>
    <s v="https://github.com/ivaxn/L-T"/>
  </r>
  <r>
    <n v="5"/>
    <s v="MEVIN VINCENT"/>
    <x v="2"/>
    <m/>
    <m/>
    <x v="3"/>
    <x v="1"/>
    <m/>
    <m/>
    <m/>
    <m/>
    <m/>
    <m/>
  </r>
  <r>
    <n v="6"/>
    <s v="SHANE CHRISTOPHER"/>
    <x v="3"/>
    <n v="3"/>
    <s v="Laptop"/>
    <x v="4"/>
    <x v="0"/>
    <s v="instagram"/>
    <s v="Karnataka"/>
    <n v="13981623"/>
    <n v="2"/>
    <s v="tamil"/>
    <s v="https://github.com/shanechristopher24/l-t1"/>
  </r>
  <r>
    <n v="7"/>
    <s v="ISAAC KURIAN DAVID"/>
    <x v="4"/>
    <n v="5"/>
    <s v="Laptop"/>
    <x v="2"/>
    <x v="1"/>
    <m/>
    <m/>
    <m/>
    <m/>
    <m/>
    <m/>
  </r>
  <r>
    <n v="8"/>
    <s v="LALITH CHOUDHARY"/>
    <x v="5"/>
    <n v="5"/>
    <s v="Laptop"/>
    <x v="2"/>
    <x v="1"/>
    <m/>
    <m/>
    <m/>
    <m/>
    <m/>
    <m/>
  </r>
  <r>
    <n v="9"/>
    <s v="JASWANTH B"/>
    <x v="6"/>
    <n v="5"/>
    <s v="PC"/>
    <x v="2"/>
    <x v="0"/>
    <s v="WhatsApp"/>
    <s v="Karnataka"/>
    <n v="1000000"/>
    <n v="10"/>
    <s v="Telugu"/>
    <s v="https://github.com/jaswanthb-lgtm/l-t"/>
  </r>
  <r>
    <n v="10"/>
    <s v="ALFONDER WARJRI"/>
    <x v="7"/>
    <n v="3"/>
    <s v="Laptop"/>
    <x v="2"/>
    <x v="0"/>
    <s v="instagram"/>
    <s v="Meghalaya"/>
    <n v="12351232"/>
    <n v="0"/>
    <s v="Khasi"/>
    <s v="https://github.com/alfonderwarjri-design/alfonderwarjri.git"/>
  </r>
  <r>
    <n v="11"/>
    <s v="ARAV BHATIA"/>
    <x v="0"/>
    <n v="3"/>
    <s v="Laptop"/>
    <x v="2"/>
    <x v="0"/>
    <s v="instagram"/>
    <s v="Punjab"/>
    <n v="100"/>
    <n v="1"/>
    <s v="hindi"/>
    <s v="https://github.com/aravbhatia303/L-T-DATA-ANALYTICS-NOV.git"/>
  </r>
  <r>
    <n v="12"/>
    <s v="HARIN S PRASAD"/>
    <x v="3"/>
    <n v="5"/>
    <s v="PC"/>
    <x v="3"/>
    <x v="1"/>
    <m/>
    <m/>
    <n v="70000000"/>
    <m/>
    <m/>
    <s v="https://github.com/harinsprasad/programming-in-data-analytics-4th-sem"/>
  </r>
  <r>
    <n v="13"/>
    <s v="KISHEN RAJ"/>
    <x v="8"/>
    <n v="5"/>
    <s v="PC"/>
    <x v="2"/>
    <x v="0"/>
    <s v="instagram"/>
    <s v="Karnataka"/>
    <n v="1000000000"/>
    <n v="1"/>
    <s v="tamil"/>
    <s v="https://github.com/rajkishen531-byte/kishen-raj"/>
  </r>
  <r>
    <n v="14"/>
    <s v="SHREERAM K"/>
    <x v="9"/>
    <n v="3"/>
    <s v="PC"/>
    <x v="4"/>
    <x v="0"/>
    <s v="instagram"/>
    <s v="kerala"/>
    <n v="9"/>
    <n v="0"/>
    <s v="malalayam"/>
    <s v="https://github.com/Shreearm-Btech/assignment1"/>
  </r>
  <r>
    <n v="15"/>
    <s v="NAOKHOMBA KHANGEMBAM"/>
    <x v="0"/>
    <n v="10"/>
    <s v="Laptop"/>
    <x v="1"/>
    <x v="0"/>
    <s v="instagram "/>
    <s v="Manipur"/>
    <n v="0"/>
    <n v="1"/>
    <s v="manipuri"/>
    <m/>
  </r>
  <r>
    <n v="16"/>
    <s v="DANIEL LUNGOUCHUON HAOKIP"/>
    <x v="0"/>
    <n v="2"/>
    <s v="Laptop"/>
    <x v="4"/>
    <x v="0"/>
    <s v="WhatsApp"/>
    <s v="Manipur"/>
    <n v="100000000"/>
    <n v="0"/>
    <s v="thadou"/>
    <s v="https://github.com/daniellungouchon-art/Daniel241125.git"/>
  </r>
  <r>
    <n v="17"/>
    <s v="JISS JAMES"/>
    <x v="9"/>
    <n v="3"/>
    <s v="Laptop"/>
    <x v="4"/>
    <x v="0"/>
    <s v="instagram"/>
    <s v="kerala"/>
    <n v="10000000"/>
    <n v="4"/>
    <s v="malalayam"/>
    <s v="https://github.com/JissJames-ark/Assesement-1-.git"/>
  </r>
  <r>
    <n v="18"/>
    <s v="THARANAA S J"/>
    <x v="9"/>
    <n v="2"/>
    <s v="Laptop"/>
    <x v="4"/>
    <x v="2"/>
    <s v="instagram"/>
    <s v="tamil nadu"/>
    <n v="6000000"/>
    <n v="5"/>
    <s v="tamil"/>
    <m/>
  </r>
  <r>
    <n v="19"/>
    <s v="DEEBADHARSHAN S"/>
    <x v="6"/>
    <n v="3"/>
    <s v="Laptop"/>
    <x v="4"/>
    <x v="0"/>
    <s v="instagram"/>
    <s v="tamil nadu"/>
    <n v="7000000"/>
    <n v="3"/>
    <s v="Telugu"/>
    <m/>
  </r>
  <r>
    <n v="20"/>
    <s v="SHIYAVUL IRFAN S"/>
    <x v="6"/>
    <n v="3"/>
    <s v="Laptop"/>
    <x v="4"/>
    <x v="0"/>
    <s v="instagram"/>
    <s v="tamil nadu"/>
    <n v="8000000"/>
    <n v="1"/>
    <s v="tamil"/>
    <m/>
  </r>
  <r>
    <n v="21"/>
    <s v="PRATYAKSH SHARMA"/>
    <x v="3"/>
    <n v="3"/>
    <s v="Laptop"/>
    <x v="5"/>
    <x v="0"/>
    <s v="instagram"/>
    <s v="Delhi"/>
    <n v="1500000"/>
    <n v="6"/>
    <s v="hindi"/>
    <s v="https://github.com/pratyaksh-07/Pratyaksh-sharma--2460423"/>
  </r>
  <r>
    <n v="22"/>
    <s v="ANUSHKA BANDI"/>
    <x v="0"/>
    <n v="4"/>
    <s v="Laptop"/>
    <x v="6"/>
    <x v="2"/>
    <s v="instagram"/>
    <s v="Karnataka"/>
    <n v="300000000"/>
    <n v="1"/>
    <s v="Telugu"/>
    <m/>
  </r>
  <r>
    <n v="23"/>
    <s v="AP ANN FIONA"/>
    <x v="10"/>
    <n v="5"/>
    <s v="Laptop"/>
    <x v="0"/>
    <x v="2"/>
    <s v="instagram"/>
    <s v="Karnataka"/>
    <n v="100000"/>
    <n v="0"/>
    <s v="tamil"/>
    <m/>
  </r>
  <r>
    <n v="24"/>
    <s v="CEANA JASMINE C"/>
    <x v="11"/>
    <n v="4"/>
    <s v="Laptop"/>
    <x v="4"/>
    <x v="2"/>
    <s v="instagram"/>
    <s v="Karnataka"/>
    <n v="60000"/>
    <n v="0"/>
    <s v="Kannada"/>
    <s v="https://github.com/ceanajasmine-oss/DATA-ANALYTICS"/>
  </r>
  <r>
    <n v="25"/>
    <s v="DEVALEKHA M"/>
    <x v="3"/>
    <n v="4"/>
    <s v="Laptop"/>
    <x v="2"/>
    <x v="1"/>
    <m/>
    <m/>
    <m/>
    <m/>
    <m/>
    <m/>
  </r>
  <r>
    <n v="26"/>
    <s v="H MOHAMMED ABHISHEIK"/>
    <x v="1"/>
    <n v="5"/>
    <s v="Laptop"/>
    <x v="5"/>
    <x v="0"/>
    <s v="instagram"/>
    <s v="tamil nadu"/>
    <n v="676767"/>
    <n v="3"/>
    <s v="tamil"/>
    <s v="https://github.com/hmohammed-cpu/4th-Sem-Progfordataanalytics.git"/>
  </r>
  <r>
    <n v="27"/>
    <s v="J MINTOPRABHU"/>
    <x v="0"/>
    <n v="4"/>
    <s v="Laptop"/>
    <x v="2"/>
    <x v="0"/>
    <s v="instagram"/>
    <s v="tamil nadu"/>
    <n v="600000"/>
    <n v="2"/>
    <s v="tamil"/>
    <s v="https://github.com/jmintoprabhu-crypto/4BTEC.git"/>
  </r>
  <r>
    <n v="28"/>
    <s v="KAVIN KIRTHICK R"/>
    <x v="1"/>
    <n v="2"/>
    <s v="Laptop"/>
    <x v="4"/>
    <x v="0"/>
    <s v="instagram"/>
    <s v="tamil nadu"/>
    <n v="100000"/>
    <s v="none"/>
    <s v="tamil"/>
    <s v="https://github.com/kavinkirthick/Kavin-Kirthick-Simple-Test/blob/main/Kavin%20Kirthick.docx"/>
  </r>
  <r>
    <n v="29"/>
    <s v="KHUSHI N"/>
    <x v="1"/>
    <n v="4"/>
    <s v="Laptop"/>
    <x v="4"/>
    <x v="2"/>
    <s v="instagram"/>
    <s v="Karnataka"/>
    <n v="50000"/>
    <s v="none"/>
    <s v="Kannada"/>
    <s v="https://github.com/khushin-collab/Data-Set"/>
  </r>
  <r>
    <n v="30"/>
    <s v="SHON VARGHESE"/>
    <x v="1"/>
    <n v="3"/>
    <s v="Laptop"/>
    <x v="7"/>
    <x v="0"/>
    <s v="instagram"/>
    <s v="kerala"/>
    <n v="100000"/>
    <n v="1"/>
    <s v="malalayam"/>
    <m/>
  </r>
  <r>
    <n v="31"/>
    <s v="TARUN SAM EMMANUEL"/>
    <x v="3"/>
    <n v="3"/>
    <s v="Laptop"/>
    <x v="0"/>
    <x v="0"/>
    <s v="instagram"/>
    <s v="Karnataka"/>
    <n v="100000"/>
    <n v="1"/>
    <s v="tamil"/>
    <s v="https://github.com/Tarun-Sam/LnT-Data-Analytics-Exercise"/>
  </r>
  <r>
    <n v="32"/>
    <s v="CHAITHRA S"/>
    <x v="11"/>
    <n v="3"/>
    <s v="Laptop"/>
    <x v="4"/>
    <x v="2"/>
    <s v="instagram"/>
    <s v="Karnataka"/>
    <n v="50000"/>
    <n v="2"/>
    <s v="Kannada"/>
    <s v="https://github.com/Chaithras1718/Data-Analytics"/>
  </r>
  <r>
    <n v="33"/>
    <s v="DEVIKA V"/>
    <x v="6"/>
    <n v="3"/>
    <s v="Laptop"/>
    <x v="4"/>
    <x v="2"/>
    <s v="instagram"/>
    <s v="Karnataka"/>
    <n v="100000"/>
    <n v="0"/>
    <s v="tamil"/>
    <s v="https://github.com/Devikav61/Data-analysis"/>
  </r>
  <r>
    <n v="34"/>
    <s v="SUNAINA PATRO"/>
    <x v="3"/>
    <n v="4"/>
    <s v="Laptop"/>
    <x v="4"/>
    <x v="2"/>
    <s v="instagram"/>
    <s v="Odisha"/>
    <n v="100000"/>
    <n v="3"/>
    <s v="oriya"/>
    <s v="https://github.com/sunainaaaa14/DA-cia1"/>
  </r>
  <r>
    <n v="35"/>
    <s v="ANAN MATHEW"/>
    <x v="12"/>
    <n v="5"/>
    <s v="Laptop"/>
    <x v="4"/>
    <x v="0"/>
    <s v="instagram"/>
    <s v="kerala"/>
    <n v="20000000"/>
    <s v="none"/>
    <s v="malalayam"/>
    <s v="https://github.com/ananmathew/data-analytics-excel/blob/main/Anan%20Mathew-Programing%20for%20Data%20Analytics.docx"/>
  </r>
  <r>
    <n v="36"/>
    <s v="JOSHUA JOHN V"/>
    <x v="13"/>
    <n v="4"/>
    <s v="Laptop"/>
    <x v="0"/>
    <x v="0"/>
    <s v="instagram"/>
    <s v="Karnataka"/>
    <m/>
    <m/>
    <m/>
    <s v="https://github.com/josh-911/DATA_ANALYTICS_EXCERCISE"/>
  </r>
  <r>
    <n v="37"/>
    <s v="SHAIVI"/>
    <x v="0"/>
    <n v="3"/>
    <s v="Laptop"/>
    <x v="6"/>
    <x v="2"/>
    <s v="instagram"/>
    <s v="Karnataka"/>
    <n v="2000000"/>
    <n v="0"/>
    <s v="Kannada"/>
    <m/>
  </r>
  <r>
    <n v="38"/>
    <s v="KISHORE R"/>
    <x v="12"/>
    <n v="4"/>
    <s v="Mobile"/>
    <x v="2"/>
    <x v="0"/>
    <s v="instagram"/>
    <s v="tamil nadu"/>
    <n v="800000"/>
    <n v="2"/>
    <s v="tamil"/>
    <s v="https://github.com/kishore066/4BTEE.git"/>
  </r>
  <r>
    <n v="39"/>
    <s v="ALBIN REGI JOHN"/>
    <x v="1"/>
    <n v="3"/>
    <s v="Laptop"/>
    <x v="2"/>
    <x v="0"/>
    <s v="instagram"/>
    <s v="kerala"/>
    <n v="100000000"/>
    <n v="1"/>
    <s v="malalayam"/>
    <s v="https://github.com/albinregi-hub/DATA-ANALYSTICS-CIA-/blob/main/L%26T%20ASSIGNMENT.docx"/>
  </r>
  <r>
    <n v="40"/>
    <s v="ARPITHA RAICHEL JACOB"/>
    <x v="0"/>
    <n v="3"/>
    <s v="Laptop"/>
    <x v="2"/>
    <x v="2"/>
    <s v="instagram"/>
    <s v="kerala"/>
    <n v="10000000"/>
    <n v="1"/>
    <s v="malalayam"/>
    <s v="https://github.com/arpithajacob02/Assessment-1"/>
  </r>
  <r>
    <n v="41"/>
    <s v="ARUN R NAIR"/>
    <x v="0"/>
    <n v="5"/>
    <s v="Laptop"/>
    <x v="4"/>
    <x v="0"/>
    <s v="INSATAGRAM"/>
    <s v="kerala"/>
    <n v="10000000"/>
    <n v="2"/>
    <s v="MALAYALAM"/>
    <s v="https://github.com/arunrnair1709/Data-Analytics.git"/>
  </r>
  <r>
    <n v="42"/>
    <s v="ASHISH JAISON"/>
    <x v="0"/>
    <n v="3"/>
    <s v="Laptop"/>
    <x v="2"/>
    <x v="0"/>
    <s v="instagram"/>
    <s v="kerala"/>
    <n v="100000"/>
    <n v="0"/>
    <s v="malalayam"/>
    <s v="https://github.com/Ashish2462609/Assessment"/>
  </r>
  <r>
    <n v="43"/>
    <s v="KANISHK M"/>
    <x v="0"/>
    <n v="5"/>
    <s v="Laptop"/>
    <x v="4"/>
    <x v="0"/>
    <s v="instagram"/>
    <s v="kerala"/>
    <n v="8000000"/>
    <n v="0"/>
    <s v="MALAYALAM"/>
    <s v="https://github.com/kanishkm-ux/Fundamentals-of-Data-Analytics-Project/tree/main"/>
  </r>
  <r>
    <n v="44"/>
    <s v="S ANAHITH"/>
    <x v="14"/>
    <n v="6"/>
    <s v="Laptop"/>
    <x v="4"/>
    <x v="0"/>
    <s v="instagram"/>
    <s v="tamil nadu"/>
    <s v="There's no limit to that"/>
    <n v="2"/>
    <s v="tamil"/>
    <m/>
  </r>
  <r>
    <n v="45"/>
    <s v="JIS MARIYA JOSE"/>
    <x v="1"/>
    <n v="3"/>
    <s v="Laptop"/>
    <x v="2"/>
    <x v="2"/>
    <s v="instagram"/>
    <s v="kerala"/>
    <n v="100000"/>
    <n v="2"/>
    <s v="malalayam"/>
    <s v="https://github.com/jismariya-eng/Data-Analytics-L-T/blob/Assignment-1/Jis_Mariya_Jose_2462633.docx"/>
  </r>
  <r>
    <n v="46"/>
    <s v="HARSHITH V"/>
    <x v="6"/>
    <n v="5"/>
    <s v="Laptop"/>
    <x v="3"/>
    <x v="1"/>
    <m/>
    <m/>
    <m/>
    <m/>
    <m/>
    <m/>
  </r>
  <r>
    <n v="48"/>
    <s v="BENSON SAJI VARGHESE"/>
    <x v="6"/>
    <n v="4"/>
    <s v="Laptop"/>
    <x v="4"/>
    <x v="0"/>
    <s v="instagram"/>
    <s v="kerala"/>
    <n v="100000000"/>
    <n v="0"/>
    <s v="MALAYALAM"/>
    <s v="https://github.com/benson-sv/Data-analytics/actions/new"/>
  </r>
  <r>
    <n v="49"/>
    <s v="HARSHITH K AHUJA"/>
    <x v="15"/>
    <m/>
    <s v="Laptop"/>
    <x v="3"/>
    <x v="1"/>
    <m/>
    <m/>
    <m/>
    <m/>
    <m/>
    <m/>
  </r>
  <r>
    <n v="50"/>
    <s v="THISHAN S"/>
    <x v="7"/>
    <n v="3"/>
    <s v="Laptop"/>
    <x v="0"/>
    <x v="0"/>
    <s v="instagram"/>
    <s v="tamil nadu"/>
    <s v="2,00,000"/>
    <n v="0"/>
    <s v="tamil"/>
    <s v="https://github.com/Thishan-22/Data-analytics-"/>
  </r>
  <r>
    <n v="51"/>
    <s v="NANDISH P"/>
    <x v="16"/>
    <n v="4"/>
    <s v="Laptop"/>
    <x v="2"/>
    <x v="0"/>
    <s v="instagram"/>
    <s v="tamil nadu"/>
    <s v="1,92,000"/>
    <n v="1"/>
    <s v="tamil"/>
    <s v="https://github.com/nandish-debug/data-analytics-"/>
  </r>
  <r>
    <n v="52"/>
    <s v="NITHISH KRISHNA S"/>
    <x v="0"/>
    <n v="5"/>
    <s v="Laptop"/>
    <x v="4"/>
    <x v="0"/>
    <s v="instagram"/>
    <s v="tamil nadu"/>
    <s v="2,00,000"/>
    <n v="0"/>
    <s v="tamil"/>
    <s v="https://github.com/nithusangy11/Data-Analytics-4th-Sem"/>
  </r>
  <r>
    <n v="53"/>
    <s v="AARON THOMAS MAJU"/>
    <x v="0"/>
    <n v="3"/>
    <s v="Laptop"/>
    <x v="4"/>
    <x v="0"/>
    <s v="instagram"/>
    <s v="kerala"/>
    <n v="500000"/>
    <n v="0"/>
    <s v="malalayam"/>
    <s v="https://github.com/aaronthomasmaju-lab/Fundamental-of-Data-Analytics-Project-3"/>
  </r>
  <r>
    <n v="54"/>
    <s v="AHSAN IBRAHIM"/>
    <x v="1"/>
    <n v="3"/>
    <m/>
    <x v="3"/>
    <x v="1"/>
    <m/>
    <m/>
    <m/>
    <m/>
    <m/>
    <m/>
  </r>
  <r>
    <n v="55"/>
    <s v="NEIL TOM ANTONY"/>
    <x v="2"/>
    <m/>
    <m/>
    <x v="3"/>
    <x v="1"/>
    <m/>
    <m/>
    <m/>
    <m/>
    <m/>
    <m/>
  </r>
  <r>
    <n v="56"/>
    <s v="SANKET DEEPAK HAMPANNAVAR"/>
    <x v="9"/>
    <n v="3"/>
    <s v="Laptop"/>
    <x v="0"/>
    <x v="0"/>
    <s v="instagram"/>
    <s v="Karnataka"/>
    <n v="1000000"/>
    <n v="0"/>
    <s v="Kannada"/>
    <m/>
  </r>
  <r>
    <n v="57"/>
    <s v="SUSHMITHA SHYAM PRASAD"/>
    <x v="1"/>
    <n v="9"/>
    <s v="Laptop"/>
    <x v="0"/>
    <x v="2"/>
    <s v="instagram"/>
    <s v="Karnataka"/>
    <n v="80000"/>
    <n v="0"/>
    <s v="Kannada"/>
    <s v="https://github.com/sushmithashyam-png/Data-Set"/>
  </r>
  <r>
    <n v="58"/>
    <s v="SHERON SREE SAI A S"/>
    <x v="0"/>
    <n v="10"/>
    <m/>
    <x v="3"/>
    <x v="1"/>
    <m/>
    <m/>
    <m/>
    <m/>
    <m/>
    <m/>
  </r>
  <r>
    <n v="59"/>
    <s v="KRISHNA SUBHASH"/>
    <x v="0"/>
    <n v="3"/>
    <s v="Laptop"/>
    <x v="2"/>
    <x v="0"/>
    <s v="instagram"/>
    <s v="kerala"/>
    <n v="101"/>
    <n v="1"/>
    <s v="malalayam"/>
    <m/>
  </r>
  <r>
    <n v="60"/>
    <s v="M.TARAK RAM REDDY"/>
    <x v="17"/>
    <n v="5"/>
    <s v="Book"/>
    <x v="2"/>
    <x v="2"/>
    <s v="WhatsApp"/>
    <s v="Telangana"/>
    <n v="1000000000"/>
    <n v="0"/>
    <s v="Telugu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BBC58-28A9-474C-90F9-31FDEF6C2B4F}" name="PivotTable1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8:B57" firstHeaderRow="1" firstDataRow="1" firstDataCol="1"/>
  <pivotFields count="13">
    <pivotField showAll="0"/>
    <pivotField showAll="0"/>
    <pivotField axis="axisRow" dataField="1" showAll="0">
      <items count="19">
        <item x="0"/>
        <item x="17"/>
        <item x="13"/>
        <item x="12"/>
        <item x="4"/>
        <item x="15"/>
        <item x="10"/>
        <item x="9"/>
        <item x="3"/>
        <item x="16"/>
        <item x="8"/>
        <item x="14"/>
        <item x="11"/>
        <item x="7"/>
        <item x="1"/>
        <item x="6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mobile brand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CF9FE-CA90-4E8E-ABFC-316EEBA77008}" name="PivotTable1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9:E29" firstHeaderRow="1" firstDataRow="2" firstDataCol="1"/>
  <pivotFields count="13">
    <pivotField showAll="0"/>
    <pivotField showAll="0"/>
    <pivotField showAll="0">
      <items count="19">
        <item x="0"/>
        <item x="17"/>
        <item x="13"/>
        <item x="12"/>
        <item x="4"/>
        <item x="15"/>
        <item x="10"/>
        <item x="9"/>
        <item x="3"/>
        <item x="16"/>
        <item x="8"/>
        <item x="14"/>
        <item x="11"/>
        <item x="7"/>
        <item x="1"/>
        <item x="6"/>
        <item x="5"/>
        <item x="2"/>
        <item t="default"/>
      </items>
    </pivotField>
    <pivotField showAll="0"/>
    <pivotField showAll="0"/>
    <pivotField axis="axisRow" dataField="1" showAll="0">
      <items count="9">
        <item x="1"/>
        <item x="7"/>
        <item x="2"/>
        <item x="0"/>
        <item x="6"/>
        <item x="4"/>
        <item x="5"/>
        <item x="3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Preffered time of study" fld="5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D2572-42B8-4BAD-B48E-E85B382D6EFA}" name="PivotTable1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 of languages known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harinsprasad/programming-in-data-analytics-4th-sem" TargetMode="External"/><Relationship Id="rId13" Type="http://schemas.openxmlformats.org/officeDocument/2006/relationships/hyperlink" Target="https://github.com/pratyaksh-07/Pratyaksh-sharma--2460423" TargetMode="External"/><Relationship Id="rId18" Type="http://schemas.openxmlformats.org/officeDocument/2006/relationships/hyperlink" Target="https://github.com/khushin-collab/Data-Set" TargetMode="External"/><Relationship Id="rId26" Type="http://schemas.openxmlformats.org/officeDocument/2006/relationships/hyperlink" Target="https://github.com/albinregi-hub/DATA-ANALYSTICS-CIA-/blob/main/L%26T%20ASSIGNMENT.docx" TargetMode="External"/><Relationship Id="rId3" Type="http://schemas.openxmlformats.org/officeDocument/2006/relationships/hyperlink" Target="https://github.com/ivaxn/L-T" TargetMode="External"/><Relationship Id="rId21" Type="http://schemas.openxmlformats.org/officeDocument/2006/relationships/hyperlink" Target="https://github.com/Devikav61/Data-analysis" TargetMode="External"/><Relationship Id="rId34" Type="http://schemas.openxmlformats.org/officeDocument/2006/relationships/hyperlink" Target="https://github.com/nandish-debug/data-analytics-" TargetMode="External"/><Relationship Id="rId7" Type="http://schemas.openxmlformats.org/officeDocument/2006/relationships/hyperlink" Target="https://github.com/aravbhatia303/L-T-DATA-ANALYTICS-NOV.git" TargetMode="External"/><Relationship Id="rId12" Type="http://schemas.openxmlformats.org/officeDocument/2006/relationships/hyperlink" Target="https://github.com/JissJames-ark/Assesement-1-.git" TargetMode="External"/><Relationship Id="rId17" Type="http://schemas.openxmlformats.org/officeDocument/2006/relationships/hyperlink" Target="https://github.com/kavinkirthick/Kavin-Kirthick-Simple-Test/blob/main/Kavin%20Kirthick.docx" TargetMode="External"/><Relationship Id="rId25" Type="http://schemas.openxmlformats.org/officeDocument/2006/relationships/hyperlink" Target="https://github.com/kishore066/4BTEE.git" TargetMode="External"/><Relationship Id="rId33" Type="http://schemas.openxmlformats.org/officeDocument/2006/relationships/hyperlink" Target="https://github.com/Thishan-22/Data-analytics-" TargetMode="External"/><Relationship Id="rId2" Type="http://schemas.openxmlformats.org/officeDocument/2006/relationships/hyperlink" Target="https://github.com/abelsam-mech/basic-data-analytics" TargetMode="External"/><Relationship Id="rId16" Type="http://schemas.openxmlformats.org/officeDocument/2006/relationships/hyperlink" Target="https://github.com/jmintoprabhu-crypto/4BTEC.git" TargetMode="External"/><Relationship Id="rId20" Type="http://schemas.openxmlformats.org/officeDocument/2006/relationships/hyperlink" Target="https://github.com/Chaithras1718/Data-Analytics" TargetMode="External"/><Relationship Id="rId29" Type="http://schemas.openxmlformats.org/officeDocument/2006/relationships/hyperlink" Target="https://github.com/Ashish2462609/Assessment" TargetMode="External"/><Relationship Id="rId1" Type="http://schemas.openxmlformats.org/officeDocument/2006/relationships/hyperlink" Target="https://github.com/lilution95/L-T-DA-PY.git" TargetMode="External"/><Relationship Id="rId6" Type="http://schemas.openxmlformats.org/officeDocument/2006/relationships/hyperlink" Target="https://github.com/alfonderwarjri-design/alfonderwarjri.git" TargetMode="External"/><Relationship Id="rId11" Type="http://schemas.openxmlformats.org/officeDocument/2006/relationships/hyperlink" Target="https://github.com/daniellungouchon-art/Daniel241125.git" TargetMode="External"/><Relationship Id="rId24" Type="http://schemas.openxmlformats.org/officeDocument/2006/relationships/hyperlink" Target="https://github.com/josh-911/DATA_ANALYTICS_EXCERCISE" TargetMode="External"/><Relationship Id="rId32" Type="http://schemas.openxmlformats.org/officeDocument/2006/relationships/hyperlink" Target="https://github.com/benson-sv/Data-analytics/actions/new" TargetMode="External"/><Relationship Id="rId37" Type="http://schemas.openxmlformats.org/officeDocument/2006/relationships/hyperlink" Target="https://github.com/sushmithashyam-png/Data-Set" TargetMode="External"/><Relationship Id="rId5" Type="http://schemas.openxmlformats.org/officeDocument/2006/relationships/hyperlink" Target="https://github.com/jaswanthb-lgtm/l-t" TargetMode="External"/><Relationship Id="rId15" Type="http://schemas.openxmlformats.org/officeDocument/2006/relationships/hyperlink" Target="https://github.com/hmohammed-cpu/4th-Sem-Progfordataanalytics.git" TargetMode="External"/><Relationship Id="rId23" Type="http://schemas.openxmlformats.org/officeDocument/2006/relationships/hyperlink" Target="https://github.com/ananmathew/data-analytics-excel/blob/main/Anan%20Mathew-Programing%20for%20Data%20Analytics.docx" TargetMode="External"/><Relationship Id="rId28" Type="http://schemas.openxmlformats.org/officeDocument/2006/relationships/hyperlink" Target="https://github.com/arunrnair1709/Data-Analytics.git" TargetMode="External"/><Relationship Id="rId36" Type="http://schemas.openxmlformats.org/officeDocument/2006/relationships/hyperlink" Target="https://github.com/aaronthomasmaju-lab/Fundamental-of-Data-Analytics-Project-3" TargetMode="External"/><Relationship Id="rId10" Type="http://schemas.openxmlformats.org/officeDocument/2006/relationships/hyperlink" Target="https://github.com/Shreearm-Btech/assignment1" TargetMode="External"/><Relationship Id="rId19" Type="http://schemas.openxmlformats.org/officeDocument/2006/relationships/hyperlink" Target="https://github.com/Tarun-Sam/LnT-Data-Analytics-Exercise" TargetMode="External"/><Relationship Id="rId31" Type="http://schemas.openxmlformats.org/officeDocument/2006/relationships/hyperlink" Target="https://github.com/jismariya-eng/Data-Analytics-L-T/blob/Assignment-1/Jis_Mariya_Jose_2462633.docx" TargetMode="External"/><Relationship Id="rId4" Type="http://schemas.openxmlformats.org/officeDocument/2006/relationships/hyperlink" Target="https://github.com/shanechristopher24/l-t1" TargetMode="External"/><Relationship Id="rId9" Type="http://schemas.openxmlformats.org/officeDocument/2006/relationships/hyperlink" Target="https://github.com/rajkishen531-byte/kishen-raj" TargetMode="External"/><Relationship Id="rId14" Type="http://schemas.openxmlformats.org/officeDocument/2006/relationships/hyperlink" Target="https://github.com/ceanajasmine-oss/DATA-ANALYTICS" TargetMode="External"/><Relationship Id="rId22" Type="http://schemas.openxmlformats.org/officeDocument/2006/relationships/hyperlink" Target="https://github.com/sunainaaaa14/DA-cia1" TargetMode="External"/><Relationship Id="rId27" Type="http://schemas.openxmlformats.org/officeDocument/2006/relationships/hyperlink" Target="https://github.com/arpithajacob02/Assessment-1" TargetMode="External"/><Relationship Id="rId30" Type="http://schemas.openxmlformats.org/officeDocument/2006/relationships/hyperlink" Target="https://github.com/kanishkm-ux/Fundamentals-of-Data-Analytics-Project/tree/main" TargetMode="External"/><Relationship Id="rId35" Type="http://schemas.openxmlformats.org/officeDocument/2006/relationships/hyperlink" Target="https://github.com/nithusangy11/Data-Analytics-4th-S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9F64-9372-4BD2-AD43-6737696DBD49}">
  <dimension ref="A3:E57"/>
  <sheetViews>
    <sheetView topLeftCell="A29" workbookViewId="0">
      <selection activeCell="A38" sqref="A38:B57"/>
    </sheetView>
  </sheetViews>
  <sheetFormatPr defaultRowHeight="13.2" x14ac:dyDescent="0.25"/>
  <cols>
    <col min="1" max="1" width="13.33203125" bestFit="1" customWidth="1"/>
    <col min="2" max="2" width="20.6640625" bestFit="1" customWidth="1"/>
    <col min="3" max="3" width="5" bestFit="1" customWidth="1"/>
    <col min="4" max="4" width="7" bestFit="1" customWidth="1"/>
    <col min="5" max="5" width="11.33203125" bestFit="1" customWidth="1"/>
  </cols>
  <sheetData>
    <row r="3" spans="1:2" x14ac:dyDescent="0.25">
      <c r="A3" s="28" t="s">
        <v>201</v>
      </c>
      <c r="B3" t="s">
        <v>200</v>
      </c>
    </row>
    <row r="4" spans="1:2" x14ac:dyDescent="0.25">
      <c r="A4" s="29" t="s">
        <v>91</v>
      </c>
      <c r="B4" s="30">
        <v>52</v>
      </c>
    </row>
    <row r="5" spans="1:2" x14ac:dyDescent="0.25">
      <c r="A5" s="29" t="s">
        <v>17</v>
      </c>
      <c r="B5" s="30">
        <v>139</v>
      </c>
    </row>
    <row r="6" spans="1:2" x14ac:dyDescent="0.25">
      <c r="A6" s="29" t="s">
        <v>199</v>
      </c>
      <c r="B6" s="30">
        <v>37</v>
      </c>
    </row>
    <row r="7" spans="1:2" x14ac:dyDescent="0.25">
      <c r="A7" s="29" t="s">
        <v>202</v>
      </c>
      <c r="B7" s="30">
        <v>228</v>
      </c>
    </row>
    <row r="19" spans="1:5" x14ac:dyDescent="0.25">
      <c r="A19" s="28" t="s">
        <v>205</v>
      </c>
      <c r="B19" s="28" t="s">
        <v>204</v>
      </c>
    </row>
    <row r="20" spans="1:5" x14ac:dyDescent="0.25">
      <c r="A20" s="28" t="s">
        <v>201</v>
      </c>
      <c r="B20" t="s">
        <v>91</v>
      </c>
      <c r="C20" t="s">
        <v>17</v>
      </c>
      <c r="D20" t="s">
        <v>199</v>
      </c>
      <c r="E20" t="s">
        <v>202</v>
      </c>
    </row>
    <row r="21" spans="1:5" x14ac:dyDescent="0.25">
      <c r="A21" s="29" t="s">
        <v>24</v>
      </c>
      <c r="B21" s="30"/>
      <c r="C21" s="30">
        <v>2</v>
      </c>
      <c r="D21" s="30"/>
      <c r="E21" s="30">
        <v>2</v>
      </c>
    </row>
    <row r="22" spans="1:5" x14ac:dyDescent="0.25">
      <c r="A22" s="29" t="s">
        <v>122</v>
      </c>
      <c r="B22" s="30"/>
      <c r="C22" s="30">
        <v>1</v>
      </c>
      <c r="D22" s="30"/>
      <c r="E22" s="30">
        <v>1</v>
      </c>
    </row>
    <row r="23" spans="1:5" x14ac:dyDescent="0.25">
      <c r="A23" s="29" t="s">
        <v>29</v>
      </c>
      <c r="B23" s="30">
        <v>3</v>
      </c>
      <c r="C23" s="30">
        <v>12</v>
      </c>
      <c r="D23" s="30">
        <v>3</v>
      </c>
      <c r="E23" s="30">
        <v>18</v>
      </c>
    </row>
    <row r="24" spans="1:5" x14ac:dyDescent="0.25">
      <c r="A24" s="29" t="s">
        <v>16</v>
      </c>
      <c r="B24" s="30">
        <v>2</v>
      </c>
      <c r="C24" s="30">
        <v>5</v>
      </c>
      <c r="D24" s="30"/>
      <c r="E24" s="30">
        <v>7</v>
      </c>
    </row>
    <row r="25" spans="1:5" x14ac:dyDescent="0.25">
      <c r="A25" s="29" t="s">
        <v>101</v>
      </c>
      <c r="B25" s="30">
        <v>2</v>
      </c>
      <c r="C25" s="30"/>
      <c r="D25" s="30"/>
      <c r="E25" s="30">
        <v>2</v>
      </c>
    </row>
    <row r="26" spans="1:5" x14ac:dyDescent="0.25">
      <c r="A26" s="29" t="s">
        <v>40</v>
      </c>
      <c r="B26" s="30">
        <v>6</v>
      </c>
      <c r="C26" s="30">
        <v>14</v>
      </c>
      <c r="D26" s="30"/>
      <c r="E26" s="30">
        <v>20</v>
      </c>
    </row>
    <row r="27" spans="1:5" x14ac:dyDescent="0.25">
      <c r="A27" s="29" t="s">
        <v>97</v>
      </c>
      <c r="B27" s="30"/>
      <c r="C27" s="30">
        <v>2</v>
      </c>
      <c r="D27" s="30"/>
      <c r="E27" s="30">
        <v>2</v>
      </c>
    </row>
    <row r="28" spans="1:5" x14ac:dyDescent="0.25">
      <c r="A28" s="29" t="s">
        <v>199</v>
      </c>
      <c r="B28" s="30"/>
      <c r="C28" s="30"/>
      <c r="D28" s="30"/>
      <c r="E28" s="30"/>
    </row>
    <row r="29" spans="1:5" x14ac:dyDescent="0.25">
      <c r="A29" s="29" t="s">
        <v>202</v>
      </c>
      <c r="B29" s="30">
        <v>13</v>
      </c>
      <c r="C29" s="30">
        <v>36</v>
      </c>
      <c r="D29" s="30">
        <v>3</v>
      </c>
      <c r="E29" s="30">
        <v>52</v>
      </c>
    </row>
    <row r="38" spans="1:2" x14ac:dyDescent="0.25">
      <c r="A38" s="28" t="s">
        <v>201</v>
      </c>
      <c r="B38" t="s">
        <v>203</v>
      </c>
    </row>
    <row r="39" spans="1:2" x14ac:dyDescent="0.25">
      <c r="A39" s="29" t="s">
        <v>14</v>
      </c>
      <c r="B39" s="30">
        <v>16</v>
      </c>
    </row>
    <row r="40" spans="1:2" x14ac:dyDescent="0.25">
      <c r="A40" s="29" t="s">
        <v>195</v>
      </c>
      <c r="B40" s="30">
        <v>1</v>
      </c>
    </row>
    <row r="41" spans="1:2" x14ac:dyDescent="0.25">
      <c r="A41" s="29" t="s">
        <v>141</v>
      </c>
      <c r="B41" s="30">
        <v>1</v>
      </c>
    </row>
    <row r="42" spans="1:2" x14ac:dyDescent="0.25">
      <c r="A42" s="29" t="s">
        <v>138</v>
      </c>
      <c r="B42" s="30">
        <v>2</v>
      </c>
    </row>
    <row r="43" spans="1:2" x14ac:dyDescent="0.25">
      <c r="A43" s="29" t="s">
        <v>44</v>
      </c>
      <c r="B43" s="30">
        <v>1</v>
      </c>
    </row>
    <row r="44" spans="1:2" x14ac:dyDescent="0.25">
      <c r="A44" s="29" t="s">
        <v>174</v>
      </c>
      <c r="B44" s="30">
        <v>1</v>
      </c>
    </row>
    <row r="45" spans="1:2" x14ac:dyDescent="0.25">
      <c r="A45" s="29" t="s">
        <v>105</v>
      </c>
      <c r="B45" s="30">
        <v>1</v>
      </c>
    </row>
    <row r="46" spans="1:2" x14ac:dyDescent="0.25">
      <c r="A46" s="29" t="s">
        <v>70</v>
      </c>
      <c r="B46" s="30">
        <v>4</v>
      </c>
    </row>
    <row r="47" spans="1:2" x14ac:dyDescent="0.25">
      <c r="A47" s="29" t="s">
        <v>39</v>
      </c>
      <c r="B47" s="30">
        <v>6</v>
      </c>
    </row>
    <row r="48" spans="1:2" x14ac:dyDescent="0.25">
      <c r="A48" s="29" t="s">
        <v>180</v>
      </c>
      <c r="B48" s="30">
        <v>1</v>
      </c>
    </row>
    <row r="49" spans="1:2" x14ac:dyDescent="0.25">
      <c r="A49" s="29" t="s">
        <v>66</v>
      </c>
      <c r="B49" s="30">
        <v>1</v>
      </c>
    </row>
    <row r="50" spans="1:2" x14ac:dyDescent="0.25">
      <c r="A50" s="29" t="s">
        <v>164</v>
      </c>
      <c r="B50" s="30">
        <v>1</v>
      </c>
    </row>
    <row r="51" spans="1:2" x14ac:dyDescent="0.25">
      <c r="A51" s="29" t="s">
        <v>107</v>
      </c>
      <c r="B51" s="30">
        <v>2</v>
      </c>
    </row>
    <row r="52" spans="1:2" x14ac:dyDescent="0.25">
      <c r="A52" s="29" t="s">
        <v>55</v>
      </c>
      <c r="B52" s="30">
        <v>2</v>
      </c>
    </row>
    <row r="53" spans="1:2" x14ac:dyDescent="0.25">
      <c r="A53" s="29" t="s">
        <v>23</v>
      </c>
      <c r="B53" s="30">
        <v>10</v>
      </c>
    </row>
    <row r="54" spans="1:2" x14ac:dyDescent="0.25">
      <c r="A54" s="29" t="s">
        <v>49</v>
      </c>
      <c r="B54" s="30">
        <v>6</v>
      </c>
    </row>
    <row r="55" spans="1:2" x14ac:dyDescent="0.25">
      <c r="A55" s="29" t="s">
        <v>47</v>
      </c>
      <c r="B55" s="30">
        <v>1</v>
      </c>
    </row>
    <row r="56" spans="1:2" x14ac:dyDescent="0.25">
      <c r="A56" s="29" t="s">
        <v>199</v>
      </c>
      <c r="B56" s="30"/>
    </row>
    <row r="57" spans="1:2" x14ac:dyDescent="0.25">
      <c r="A57" s="29" t="s">
        <v>202</v>
      </c>
      <c r="B57" s="30">
        <v>57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W999"/>
  <sheetViews>
    <sheetView tabSelected="1" workbookViewId="0">
      <selection activeCell="C63" sqref="C63"/>
    </sheetView>
  </sheetViews>
  <sheetFormatPr defaultColWidth="12.6640625" defaultRowHeight="15.75" customHeight="1" x14ac:dyDescent="0.25"/>
  <cols>
    <col min="2" max="2" width="17.88671875" customWidth="1"/>
    <col min="3" max="3" width="9.77734375" customWidth="1"/>
    <col min="4" max="4" width="6.33203125" customWidth="1"/>
    <col min="5" max="5" width="11.88671875" customWidth="1"/>
    <col min="6" max="6" width="9.44140625" customWidth="1"/>
    <col min="7" max="7" width="6.44140625" customWidth="1"/>
    <col min="8" max="8" width="11.77734375" customWidth="1"/>
    <col min="9" max="9" width="6.6640625" customWidth="1"/>
    <col min="10" max="10" width="11.109375" customWidth="1"/>
    <col min="11" max="11" width="7.21875" customWidth="1"/>
    <col min="12" max="12" width="8.44140625" customWidth="1"/>
    <col min="13" max="13" width="107.33203125" customWidth="1"/>
  </cols>
  <sheetData>
    <row r="1" spans="1:23" ht="14.4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4" hidden="1" x14ac:dyDescent="0.3">
      <c r="A2" s="7">
        <v>1</v>
      </c>
      <c r="B2" s="3" t="s">
        <v>13</v>
      </c>
      <c r="C2" s="7" t="s">
        <v>14</v>
      </c>
      <c r="D2" s="8">
        <v>3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>
        <v>2000</v>
      </c>
      <c r="K2" s="8">
        <v>0</v>
      </c>
      <c r="L2" s="8" t="s">
        <v>20</v>
      </c>
      <c r="M2" s="9" t="s">
        <v>21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4.4" hidden="1" x14ac:dyDescent="0.3">
      <c r="A3" s="7">
        <v>2</v>
      </c>
      <c r="B3" s="3" t="s">
        <v>22</v>
      </c>
      <c r="C3" s="7" t="s">
        <v>23</v>
      </c>
      <c r="D3" s="8">
        <v>4</v>
      </c>
      <c r="E3" s="8" t="s">
        <v>15</v>
      </c>
      <c r="F3" s="8" t="s">
        <v>24</v>
      </c>
      <c r="G3" s="8" t="s">
        <v>17</v>
      </c>
      <c r="H3" s="8" t="s">
        <v>18</v>
      </c>
      <c r="I3" s="8" t="s">
        <v>19</v>
      </c>
      <c r="J3" s="8" t="s">
        <v>25</v>
      </c>
      <c r="K3" s="8" t="s">
        <v>25</v>
      </c>
      <c r="L3" s="8" t="s">
        <v>26</v>
      </c>
      <c r="M3" s="10" t="s">
        <v>27</v>
      </c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4.4" x14ac:dyDescent="0.3">
      <c r="A4" s="7">
        <v>3</v>
      </c>
      <c r="B4" s="3" t="s">
        <v>28</v>
      </c>
      <c r="C4" s="7" t="s">
        <v>23</v>
      </c>
      <c r="D4" s="8">
        <v>5</v>
      </c>
      <c r="E4" s="8" t="s">
        <v>15</v>
      </c>
      <c r="F4" s="8" t="s">
        <v>29</v>
      </c>
      <c r="G4" s="8" t="s">
        <v>17</v>
      </c>
      <c r="H4" s="8" t="s">
        <v>18</v>
      </c>
      <c r="I4" s="8"/>
      <c r="J4" s="8">
        <v>1000000</v>
      </c>
      <c r="K4" s="8">
        <v>3</v>
      </c>
      <c r="L4" s="8" t="s">
        <v>30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4.4" hidden="1" x14ac:dyDescent="0.3">
      <c r="A5" s="7">
        <v>4</v>
      </c>
      <c r="B5" s="3" t="s">
        <v>31</v>
      </c>
      <c r="C5" s="7" t="s">
        <v>14</v>
      </c>
      <c r="D5" s="11">
        <v>4</v>
      </c>
      <c r="E5" s="8" t="s">
        <v>32</v>
      </c>
      <c r="F5" s="8" t="s">
        <v>29</v>
      </c>
      <c r="G5" s="8" t="s">
        <v>33</v>
      </c>
      <c r="H5" s="8" t="s">
        <v>34</v>
      </c>
      <c r="I5" s="12" t="s">
        <v>19</v>
      </c>
      <c r="J5" s="8">
        <v>100</v>
      </c>
      <c r="K5" s="8">
        <v>0</v>
      </c>
      <c r="L5" s="8" t="s">
        <v>35</v>
      </c>
      <c r="M5" s="13" t="s">
        <v>36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4.4" x14ac:dyDescent="0.3">
      <c r="A6" s="7">
        <v>5</v>
      </c>
      <c r="B6" s="3" t="s">
        <v>37</v>
      </c>
      <c r="C6" s="7"/>
      <c r="D6" s="8"/>
      <c r="E6" s="8"/>
      <c r="F6" s="8"/>
      <c r="G6" s="8"/>
      <c r="H6" s="8"/>
      <c r="I6" s="8"/>
      <c r="J6" s="8"/>
      <c r="K6" s="8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4.4" hidden="1" x14ac:dyDescent="0.3">
      <c r="A7" s="7">
        <v>6</v>
      </c>
      <c r="B7" s="3" t="s">
        <v>38</v>
      </c>
      <c r="C7" s="7" t="s">
        <v>39</v>
      </c>
      <c r="D7" s="8">
        <v>3</v>
      </c>
      <c r="E7" s="8" t="s">
        <v>15</v>
      </c>
      <c r="F7" s="8" t="s">
        <v>40</v>
      </c>
      <c r="G7" s="8" t="s">
        <v>17</v>
      </c>
      <c r="H7" s="8" t="s">
        <v>41</v>
      </c>
      <c r="I7" s="8" t="s">
        <v>19</v>
      </c>
      <c r="J7" s="8">
        <v>13981623</v>
      </c>
      <c r="K7" s="8">
        <v>2</v>
      </c>
      <c r="L7" s="8" t="s">
        <v>26</v>
      </c>
      <c r="M7" s="13" t="s">
        <v>42</v>
      </c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4.4" x14ac:dyDescent="0.3">
      <c r="A8" s="7">
        <v>7</v>
      </c>
      <c r="B8" s="3" t="s">
        <v>43</v>
      </c>
      <c r="C8" s="7" t="s">
        <v>44</v>
      </c>
      <c r="D8" s="8">
        <v>5</v>
      </c>
      <c r="E8" s="8" t="s">
        <v>15</v>
      </c>
      <c r="F8" s="8" t="s">
        <v>45</v>
      </c>
      <c r="G8" s="8"/>
      <c r="H8" s="8"/>
      <c r="I8" s="8"/>
      <c r="J8" s="8"/>
      <c r="K8" s="8"/>
      <c r="L8" s="8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.4" x14ac:dyDescent="0.3">
      <c r="A9" s="7">
        <v>8</v>
      </c>
      <c r="B9" s="3" t="s">
        <v>46</v>
      </c>
      <c r="C9" s="7" t="s">
        <v>47</v>
      </c>
      <c r="D9" s="8">
        <v>5</v>
      </c>
      <c r="E9" s="8" t="s">
        <v>15</v>
      </c>
      <c r="F9" s="8" t="s">
        <v>45</v>
      </c>
      <c r="G9" s="8"/>
      <c r="H9" s="8"/>
      <c r="I9" s="8"/>
      <c r="J9" s="8"/>
      <c r="K9" s="8"/>
      <c r="L9" s="8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4.4" hidden="1" x14ac:dyDescent="0.3">
      <c r="A10" s="7">
        <v>9</v>
      </c>
      <c r="B10" s="3" t="s">
        <v>48</v>
      </c>
      <c r="C10" s="7" t="s">
        <v>49</v>
      </c>
      <c r="D10" s="8">
        <v>5</v>
      </c>
      <c r="E10" s="8" t="s">
        <v>50</v>
      </c>
      <c r="F10" s="8" t="s">
        <v>45</v>
      </c>
      <c r="G10" s="8" t="s">
        <v>17</v>
      </c>
      <c r="H10" s="8" t="s">
        <v>51</v>
      </c>
      <c r="I10" s="8" t="s">
        <v>19</v>
      </c>
      <c r="J10" s="8">
        <v>1000000</v>
      </c>
      <c r="K10" s="8">
        <v>10</v>
      </c>
      <c r="L10" s="8" t="s">
        <v>52</v>
      </c>
      <c r="M10" s="10" t="s">
        <v>53</v>
      </c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4.4" hidden="1" x14ac:dyDescent="0.3">
      <c r="A11" s="7">
        <v>10</v>
      </c>
      <c r="B11" s="3" t="s">
        <v>54</v>
      </c>
      <c r="C11" s="7" t="s">
        <v>55</v>
      </c>
      <c r="D11" s="8">
        <v>3</v>
      </c>
      <c r="E11" s="8" t="s">
        <v>15</v>
      </c>
      <c r="F11" s="8" t="s">
        <v>45</v>
      </c>
      <c r="G11" s="8" t="s">
        <v>17</v>
      </c>
      <c r="H11" s="8" t="s">
        <v>41</v>
      </c>
      <c r="I11" s="8" t="s">
        <v>56</v>
      </c>
      <c r="J11" s="8">
        <v>12351232</v>
      </c>
      <c r="K11" s="8">
        <v>0</v>
      </c>
      <c r="L11" s="8" t="s">
        <v>57</v>
      </c>
      <c r="M11" s="13" t="s">
        <v>58</v>
      </c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4.4" hidden="1" x14ac:dyDescent="0.3">
      <c r="A12" s="7">
        <v>11</v>
      </c>
      <c r="B12" s="3" t="s">
        <v>59</v>
      </c>
      <c r="C12" s="7" t="s">
        <v>14</v>
      </c>
      <c r="D12" s="8">
        <v>3</v>
      </c>
      <c r="E12" s="8" t="s">
        <v>15</v>
      </c>
      <c r="F12" s="8" t="s">
        <v>45</v>
      </c>
      <c r="G12" s="8" t="s">
        <v>33</v>
      </c>
      <c r="H12" s="8" t="s">
        <v>41</v>
      </c>
      <c r="I12" s="8" t="s">
        <v>60</v>
      </c>
      <c r="J12" s="8">
        <v>100</v>
      </c>
      <c r="K12" s="8">
        <v>1</v>
      </c>
      <c r="L12" s="8" t="s">
        <v>61</v>
      </c>
      <c r="M12" s="13" t="s">
        <v>62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4.4" hidden="1" x14ac:dyDescent="0.3">
      <c r="A13" s="7">
        <v>12</v>
      </c>
      <c r="B13" s="3" t="s">
        <v>63</v>
      </c>
      <c r="C13" s="7" t="s">
        <v>39</v>
      </c>
      <c r="D13" s="8">
        <v>5</v>
      </c>
      <c r="E13" s="8" t="s">
        <v>50</v>
      </c>
      <c r="F13" s="8"/>
      <c r="G13" s="8"/>
      <c r="H13" s="8"/>
      <c r="I13" s="8"/>
      <c r="J13" s="8">
        <v>70000000</v>
      </c>
      <c r="K13" s="8"/>
      <c r="L13" s="8"/>
      <c r="M13" s="10" t="s">
        <v>64</v>
      </c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4.4" hidden="1" x14ac:dyDescent="0.3">
      <c r="A14" s="7">
        <v>13</v>
      </c>
      <c r="B14" s="3" t="s">
        <v>65</v>
      </c>
      <c r="C14" s="7" t="s">
        <v>66</v>
      </c>
      <c r="D14" s="8">
        <v>5</v>
      </c>
      <c r="E14" s="8" t="s">
        <v>50</v>
      </c>
      <c r="F14" s="8" t="s">
        <v>45</v>
      </c>
      <c r="G14" s="8" t="s">
        <v>17</v>
      </c>
      <c r="H14" s="8" t="s">
        <v>18</v>
      </c>
      <c r="I14" s="8" t="s">
        <v>19</v>
      </c>
      <c r="J14" s="8">
        <v>1000000000</v>
      </c>
      <c r="K14" s="8">
        <v>1</v>
      </c>
      <c r="L14" s="8" t="s">
        <v>67</v>
      </c>
      <c r="M14" s="13" t="s">
        <v>68</v>
      </c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4.4" hidden="1" x14ac:dyDescent="0.3">
      <c r="A15" s="7">
        <v>14</v>
      </c>
      <c r="B15" s="3" t="s">
        <v>69</v>
      </c>
      <c r="C15" s="7" t="s">
        <v>70</v>
      </c>
      <c r="D15" s="8">
        <v>3</v>
      </c>
      <c r="E15" s="8" t="s">
        <v>71</v>
      </c>
      <c r="F15" s="8" t="s">
        <v>40</v>
      </c>
      <c r="G15" s="8" t="s">
        <v>17</v>
      </c>
      <c r="H15" s="8" t="s">
        <v>18</v>
      </c>
      <c r="I15" s="8" t="s">
        <v>72</v>
      </c>
      <c r="J15" s="8">
        <v>9</v>
      </c>
      <c r="K15" s="8">
        <v>0</v>
      </c>
      <c r="L15" s="8" t="s">
        <v>30</v>
      </c>
      <c r="M15" s="13" t="s">
        <v>73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4.4" x14ac:dyDescent="0.3">
      <c r="A16" s="7">
        <v>15</v>
      </c>
      <c r="B16" s="3" t="s">
        <v>74</v>
      </c>
      <c r="C16" s="7" t="s">
        <v>14</v>
      </c>
      <c r="D16" s="8">
        <v>10</v>
      </c>
      <c r="E16" s="8" t="s">
        <v>75</v>
      </c>
      <c r="F16" s="8" t="s">
        <v>76</v>
      </c>
      <c r="G16" s="8" t="s">
        <v>17</v>
      </c>
      <c r="H16" s="8" t="s">
        <v>77</v>
      </c>
      <c r="I16" s="8" t="s">
        <v>78</v>
      </c>
      <c r="J16" s="8">
        <v>0</v>
      </c>
      <c r="K16" s="8">
        <v>1</v>
      </c>
      <c r="L16" s="8" t="s">
        <v>79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4.4" hidden="1" x14ac:dyDescent="0.3">
      <c r="A17" s="7">
        <v>16</v>
      </c>
      <c r="B17" s="3" t="s">
        <v>80</v>
      </c>
      <c r="C17" s="7" t="s">
        <v>81</v>
      </c>
      <c r="D17" s="8">
        <v>2</v>
      </c>
      <c r="E17" s="8" t="s">
        <v>75</v>
      </c>
      <c r="F17" s="8" t="s">
        <v>40</v>
      </c>
      <c r="G17" s="8" t="s">
        <v>17</v>
      </c>
      <c r="H17" s="8" t="s">
        <v>82</v>
      </c>
      <c r="I17" s="8" t="s">
        <v>83</v>
      </c>
      <c r="J17" s="8">
        <v>100000000</v>
      </c>
      <c r="K17" s="8">
        <v>0</v>
      </c>
      <c r="L17" s="8" t="s">
        <v>84</v>
      </c>
      <c r="M17" s="13" t="s">
        <v>85</v>
      </c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4.4" hidden="1" x14ac:dyDescent="0.3">
      <c r="A18" s="14">
        <v>17</v>
      </c>
      <c r="B18" s="15" t="s">
        <v>86</v>
      </c>
      <c r="C18" s="14" t="s">
        <v>70</v>
      </c>
      <c r="D18" s="16">
        <v>3</v>
      </c>
      <c r="E18" s="16" t="s">
        <v>15</v>
      </c>
      <c r="F18" s="16" t="s">
        <v>87</v>
      </c>
      <c r="G18" s="16" t="s">
        <v>33</v>
      </c>
      <c r="H18" s="16" t="s">
        <v>41</v>
      </c>
      <c r="I18" s="16" t="s">
        <v>88</v>
      </c>
      <c r="J18" s="16">
        <v>10000000</v>
      </c>
      <c r="K18" s="16">
        <v>4</v>
      </c>
      <c r="L18" s="8" t="s">
        <v>30</v>
      </c>
      <c r="M18" s="10" t="s">
        <v>89</v>
      </c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4.4" x14ac:dyDescent="0.3">
      <c r="A19" s="7">
        <v>18</v>
      </c>
      <c r="B19" s="3" t="s">
        <v>90</v>
      </c>
      <c r="C19" s="7" t="s">
        <v>70</v>
      </c>
      <c r="D19" s="8">
        <v>2</v>
      </c>
      <c r="E19" s="8" t="s">
        <v>15</v>
      </c>
      <c r="F19" s="8" t="s">
        <v>40</v>
      </c>
      <c r="G19" s="8" t="s">
        <v>91</v>
      </c>
      <c r="H19" s="8" t="s">
        <v>18</v>
      </c>
      <c r="I19" s="8" t="s">
        <v>92</v>
      </c>
      <c r="J19" s="8">
        <v>6000000</v>
      </c>
      <c r="K19" s="8">
        <v>5</v>
      </c>
      <c r="L19" s="8" t="s">
        <v>26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4.4" x14ac:dyDescent="0.3">
      <c r="A20" s="7">
        <v>19</v>
      </c>
      <c r="B20" s="3" t="s">
        <v>93</v>
      </c>
      <c r="C20" s="7" t="s">
        <v>49</v>
      </c>
      <c r="D20" s="8">
        <v>3</v>
      </c>
      <c r="E20" s="8" t="s">
        <v>15</v>
      </c>
      <c r="F20" s="8" t="s">
        <v>40</v>
      </c>
      <c r="G20" s="8" t="s">
        <v>17</v>
      </c>
      <c r="H20" s="8" t="s">
        <v>18</v>
      </c>
      <c r="I20" s="8" t="s">
        <v>92</v>
      </c>
      <c r="J20" s="8">
        <v>7000000</v>
      </c>
      <c r="K20" s="8">
        <v>3</v>
      </c>
      <c r="L20" s="8" t="s">
        <v>94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4.4" x14ac:dyDescent="0.3">
      <c r="A21" s="7">
        <v>20</v>
      </c>
      <c r="B21" s="3" t="s">
        <v>95</v>
      </c>
      <c r="C21" s="7" t="s">
        <v>49</v>
      </c>
      <c r="D21" s="8">
        <v>3</v>
      </c>
      <c r="E21" s="8" t="s">
        <v>15</v>
      </c>
      <c r="F21" s="8" t="s">
        <v>40</v>
      </c>
      <c r="G21" s="8" t="s">
        <v>17</v>
      </c>
      <c r="H21" s="8" t="s">
        <v>18</v>
      </c>
      <c r="I21" s="8" t="s">
        <v>92</v>
      </c>
      <c r="J21" s="8">
        <v>8000000</v>
      </c>
      <c r="K21" s="8">
        <v>1</v>
      </c>
      <c r="L21" s="8" t="s">
        <v>26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4.4" hidden="1" x14ac:dyDescent="0.3">
      <c r="A22" s="7">
        <v>21</v>
      </c>
      <c r="B22" s="3" t="s">
        <v>96</v>
      </c>
      <c r="C22" s="7" t="s">
        <v>39</v>
      </c>
      <c r="D22" s="8">
        <v>3</v>
      </c>
      <c r="E22" s="8" t="s">
        <v>15</v>
      </c>
      <c r="F22" s="8" t="s">
        <v>97</v>
      </c>
      <c r="G22" s="8" t="s">
        <v>17</v>
      </c>
      <c r="H22" s="8" t="s">
        <v>18</v>
      </c>
      <c r="I22" s="8" t="s">
        <v>98</v>
      </c>
      <c r="J22" s="8">
        <v>1500000</v>
      </c>
      <c r="K22" s="8">
        <v>6</v>
      </c>
      <c r="L22" s="8" t="s">
        <v>61</v>
      </c>
      <c r="M22" s="10" t="s">
        <v>99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4.4" x14ac:dyDescent="0.3">
      <c r="A23" s="7">
        <v>22</v>
      </c>
      <c r="B23" s="3" t="s">
        <v>100</v>
      </c>
      <c r="C23" s="7" t="s">
        <v>14</v>
      </c>
      <c r="D23" s="8">
        <v>4</v>
      </c>
      <c r="E23" s="8" t="s">
        <v>15</v>
      </c>
      <c r="F23" s="8" t="s">
        <v>101</v>
      </c>
      <c r="G23" s="8" t="s">
        <v>102</v>
      </c>
      <c r="H23" s="8" t="s">
        <v>18</v>
      </c>
      <c r="I23" s="8" t="s">
        <v>103</v>
      </c>
      <c r="J23" s="8">
        <v>300000000</v>
      </c>
      <c r="K23" s="8">
        <v>1</v>
      </c>
      <c r="L23" s="8" t="s">
        <v>94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4.4" x14ac:dyDescent="0.3">
      <c r="A24" s="7">
        <v>23</v>
      </c>
      <c r="B24" s="3" t="s">
        <v>104</v>
      </c>
      <c r="C24" s="7" t="s">
        <v>105</v>
      </c>
      <c r="D24" s="8">
        <v>5</v>
      </c>
      <c r="E24" s="8" t="s">
        <v>15</v>
      </c>
      <c r="F24" s="8" t="s">
        <v>16</v>
      </c>
      <c r="G24" s="8" t="s">
        <v>91</v>
      </c>
      <c r="H24" s="8" t="s">
        <v>18</v>
      </c>
      <c r="I24" s="8" t="s">
        <v>103</v>
      </c>
      <c r="J24" s="8">
        <v>100000</v>
      </c>
      <c r="K24" s="8">
        <v>0</v>
      </c>
      <c r="L24" s="8" t="s">
        <v>26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4.4" hidden="1" x14ac:dyDescent="0.3">
      <c r="A25" s="7">
        <v>24</v>
      </c>
      <c r="B25" s="3" t="s">
        <v>106</v>
      </c>
      <c r="C25" s="7" t="s">
        <v>107</v>
      </c>
      <c r="D25" s="8">
        <v>4</v>
      </c>
      <c r="E25" s="8" t="s">
        <v>15</v>
      </c>
      <c r="F25" s="8" t="s">
        <v>87</v>
      </c>
      <c r="G25" s="8" t="s">
        <v>91</v>
      </c>
      <c r="H25" s="8" t="s">
        <v>18</v>
      </c>
      <c r="I25" s="8" t="s">
        <v>103</v>
      </c>
      <c r="J25" s="8">
        <v>60000</v>
      </c>
      <c r="K25" s="8">
        <v>0</v>
      </c>
      <c r="L25" s="17" t="s">
        <v>108</v>
      </c>
      <c r="M25" s="10" t="s">
        <v>109</v>
      </c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4.4" x14ac:dyDescent="0.3">
      <c r="A26" s="7">
        <v>25</v>
      </c>
      <c r="B26" s="5" t="s">
        <v>110</v>
      </c>
      <c r="C26" s="7" t="s">
        <v>39</v>
      </c>
      <c r="D26" s="8">
        <v>4</v>
      </c>
      <c r="E26" s="8" t="s">
        <v>15</v>
      </c>
      <c r="F26" s="8" t="s">
        <v>45</v>
      </c>
      <c r="G26" s="8"/>
      <c r="H26" s="8"/>
      <c r="I26" s="8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4.4" hidden="1" x14ac:dyDescent="0.3">
      <c r="A27" s="7">
        <v>26</v>
      </c>
      <c r="B27" s="5" t="s">
        <v>111</v>
      </c>
      <c r="C27" s="7" t="s">
        <v>23</v>
      </c>
      <c r="D27" s="8">
        <v>5</v>
      </c>
      <c r="E27" s="8" t="s">
        <v>15</v>
      </c>
      <c r="F27" s="8" t="s">
        <v>97</v>
      </c>
      <c r="G27" s="8" t="s">
        <v>33</v>
      </c>
      <c r="H27" s="8" t="s">
        <v>41</v>
      </c>
      <c r="I27" s="8" t="s">
        <v>112</v>
      </c>
      <c r="J27" s="8">
        <v>676767</v>
      </c>
      <c r="K27" s="8">
        <v>3</v>
      </c>
      <c r="L27" s="8" t="s">
        <v>67</v>
      </c>
      <c r="M27" s="10" t="s">
        <v>113</v>
      </c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4.4" hidden="1" x14ac:dyDescent="0.3">
      <c r="A28" s="7">
        <v>27</v>
      </c>
      <c r="B28" s="5" t="s">
        <v>114</v>
      </c>
      <c r="C28" s="7" t="s">
        <v>14</v>
      </c>
      <c r="D28" s="8">
        <v>4</v>
      </c>
      <c r="E28" s="8" t="s">
        <v>15</v>
      </c>
      <c r="F28" s="8" t="s">
        <v>29</v>
      </c>
      <c r="G28" s="8" t="s">
        <v>33</v>
      </c>
      <c r="H28" s="8" t="s">
        <v>41</v>
      </c>
      <c r="I28" s="8" t="s">
        <v>112</v>
      </c>
      <c r="J28" s="8">
        <v>600000</v>
      </c>
      <c r="K28" s="8">
        <v>2</v>
      </c>
      <c r="L28" s="8" t="s">
        <v>67</v>
      </c>
      <c r="M28" s="13" t="s">
        <v>115</v>
      </c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4.4" hidden="1" x14ac:dyDescent="0.3">
      <c r="A29" s="7">
        <v>28</v>
      </c>
      <c r="B29" s="3" t="s">
        <v>116</v>
      </c>
      <c r="C29" s="18" t="s">
        <v>23</v>
      </c>
      <c r="D29" s="8">
        <v>2</v>
      </c>
      <c r="E29" s="8" t="s">
        <v>15</v>
      </c>
      <c r="F29" s="8" t="s">
        <v>87</v>
      </c>
      <c r="G29" s="8" t="s">
        <v>33</v>
      </c>
      <c r="H29" s="8" t="s">
        <v>41</v>
      </c>
      <c r="I29" s="8" t="s">
        <v>112</v>
      </c>
      <c r="J29" s="8">
        <v>100000</v>
      </c>
      <c r="K29" s="8" t="s">
        <v>117</v>
      </c>
      <c r="L29" s="8" t="s">
        <v>67</v>
      </c>
      <c r="M29" s="13" t="s">
        <v>118</v>
      </c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4.4" hidden="1" x14ac:dyDescent="0.3">
      <c r="A30" s="7">
        <v>29</v>
      </c>
      <c r="B30" s="3" t="s">
        <v>119</v>
      </c>
      <c r="C30" s="7" t="s">
        <v>23</v>
      </c>
      <c r="D30" s="8">
        <v>4</v>
      </c>
      <c r="E30" s="8" t="s">
        <v>15</v>
      </c>
      <c r="F30" s="8" t="s">
        <v>87</v>
      </c>
      <c r="G30" s="8" t="s">
        <v>91</v>
      </c>
      <c r="H30" s="8" t="s">
        <v>41</v>
      </c>
      <c r="I30" s="8" t="s">
        <v>103</v>
      </c>
      <c r="J30" s="8">
        <v>50000</v>
      </c>
      <c r="K30" s="8" t="s">
        <v>117</v>
      </c>
      <c r="L30" s="8" t="s">
        <v>108</v>
      </c>
      <c r="M30" s="10" t="s">
        <v>120</v>
      </c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4.4" x14ac:dyDescent="0.3">
      <c r="A31" s="7">
        <v>30</v>
      </c>
      <c r="B31" s="3" t="s">
        <v>121</v>
      </c>
      <c r="C31" s="7" t="s">
        <v>23</v>
      </c>
      <c r="D31" s="8">
        <v>3</v>
      </c>
      <c r="E31" s="8" t="s">
        <v>15</v>
      </c>
      <c r="F31" s="8" t="s">
        <v>122</v>
      </c>
      <c r="G31" s="8" t="s">
        <v>33</v>
      </c>
      <c r="H31" s="8" t="s">
        <v>41</v>
      </c>
      <c r="I31" s="8" t="s">
        <v>88</v>
      </c>
      <c r="J31" s="8">
        <v>100000</v>
      </c>
      <c r="K31" s="8">
        <v>1</v>
      </c>
      <c r="L31" s="8" t="s">
        <v>30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4.4" hidden="1" x14ac:dyDescent="0.3">
      <c r="A32" s="7">
        <v>31</v>
      </c>
      <c r="B32" s="3" t="s">
        <v>123</v>
      </c>
      <c r="C32" s="7" t="s">
        <v>124</v>
      </c>
      <c r="D32" s="8">
        <v>3</v>
      </c>
      <c r="E32" s="8" t="s">
        <v>15</v>
      </c>
      <c r="F32" s="8" t="s">
        <v>125</v>
      </c>
      <c r="G32" s="8" t="s">
        <v>33</v>
      </c>
      <c r="H32" s="8" t="s">
        <v>41</v>
      </c>
      <c r="I32" s="8" t="s">
        <v>19</v>
      </c>
      <c r="J32" s="8">
        <v>100000</v>
      </c>
      <c r="K32" s="11">
        <v>1</v>
      </c>
      <c r="L32" s="8" t="s">
        <v>67</v>
      </c>
      <c r="M32" s="13" t="s">
        <v>126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4.4" hidden="1" x14ac:dyDescent="0.3">
      <c r="A33" s="7">
        <v>32</v>
      </c>
      <c r="B33" s="3" t="s">
        <v>127</v>
      </c>
      <c r="C33" s="7" t="s">
        <v>107</v>
      </c>
      <c r="D33" s="8">
        <v>3</v>
      </c>
      <c r="E33" s="8" t="s">
        <v>15</v>
      </c>
      <c r="F33" s="8" t="s">
        <v>87</v>
      </c>
      <c r="G33" s="8" t="s">
        <v>102</v>
      </c>
      <c r="H33" s="8" t="s">
        <v>41</v>
      </c>
      <c r="I33" s="8" t="s">
        <v>19</v>
      </c>
      <c r="J33" s="8">
        <v>50000</v>
      </c>
      <c r="K33" s="8">
        <v>2</v>
      </c>
      <c r="L33" s="8" t="s">
        <v>35</v>
      </c>
      <c r="M33" s="10" t="s">
        <v>128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4.4" hidden="1" x14ac:dyDescent="0.3">
      <c r="A34" s="7">
        <v>33</v>
      </c>
      <c r="B34" s="3" t="s">
        <v>129</v>
      </c>
      <c r="C34" s="7" t="s">
        <v>130</v>
      </c>
      <c r="D34" s="8">
        <v>3</v>
      </c>
      <c r="E34" s="8" t="s">
        <v>15</v>
      </c>
      <c r="F34" s="8" t="s">
        <v>87</v>
      </c>
      <c r="G34" s="8" t="s">
        <v>102</v>
      </c>
      <c r="H34" s="8" t="s">
        <v>41</v>
      </c>
      <c r="I34" s="8" t="s">
        <v>19</v>
      </c>
      <c r="J34" s="8">
        <v>100000</v>
      </c>
      <c r="K34" s="8">
        <v>0</v>
      </c>
      <c r="L34" s="8" t="s">
        <v>67</v>
      </c>
      <c r="M34" s="13" t="s">
        <v>131</v>
      </c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4.4" hidden="1" x14ac:dyDescent="0.3">
      <c r="A35" s="7">
        <v>34</v>
      </c>
      <c r="B35" s="3" t="s">
        <v>132</v>
      </c>
      <c r="C35" s="7" t="s">
        <v>39</v>
      </c>
      <c r="D35" s="8">
        <v>4</v>
      </c>
      <c r="E35" s="8" t="s">
        <v>15</v>
      </c>
      <c r="F35" s="8" t="s">
        <v>87</v>
      </c>
      <c r="G35" s="8" t="s">
        <v>102</v>
      </c>
      <c r="H35" s="8" t="s">
        <v>41</v>
      </c>
      <c r="I35" s="8" t="s">
        <v>133</v>
      </c>
      <c r="J35" s="8">
        <v>100000</v>
      </c>
      <c r="K35" s="8">
        <v>3</v>
      </c>
      <c r="L35" s="8" t="s">
        <v>134</v>
      </c>
      <c r="M35" s="13" t="s">
        <v>135</v>
      </c>
      <c r="N35" s="6"/>
      <c r="O35" s="6"/>
      <c r="P35" s="6" t="s">
        <v>136</v>
      </c>
      <c r="Q35" s="6"/>
      <c r="R35" s="6"/>
      <c r="S35" s="6"/>
      <c r="T35" s="6"/>
      <c r="U35" s="6"/>
      <c r="V35" s="6"/>
      <c r="W35" s="6"/>
    </row>
    <row r="36" spans="1:23" ht="14.4" hidden="1" x14ac:dyDescent="0.3">
      <c r="A36" s="7">
        <v>35</v>
      </c>
      <c r="B36" s="3" t="s">
        <v>137</v>
      </c>
      <c r="C36" s="7" t="s">
        <v>138</v>
      </c>
      <c r="D36" s="8">
        <v>5</v>
      </c>
      <c r="E36" s="8" t="s">
        <v>15</v>
      </c>
      <c r="F36" s="8" t="s">
        <v>87</v>
      </c>
      <c r="G36" s="8" t="s">
        <v>33</v>
      </c>
      <c r="H36" s="8" t="s">
        <v>41</v>
      </c>
      <c r="I36" s="8" t="s">
        <v>88</v>
      </c>
      <c r="J36" s="8">
        <v>20000000</v>
      </c>
      <c r="K36" s="8" t="s">
        <v>117</v>
      </c>
      <c r="L36" s="8" t="s">
        <v>30</v>
      </c>
      <c r="M36" s="13" t="s">
        <v>139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4.4" hidden="1" x14ac:dyDescent="0.3">
      <c r="A37" s="7">
        <v>36</v>
      </c>
      <c r="B37" s="3" t="s">
        <v>140</v>
      </c>
      <c r="C37" s="7" t="s">
        <v>141</v>
      </c>
      <c r="D37" s="8">
        <v>4</v>
      </c>
      <c r="E37" s="8" t="s">
        <v>15</v>
      </c>
      <c r="F37" s="8" t="s">
        <v>125</v>
      </c>
      <c r="G37" s="8" t="s">
        <v>33</v>
      </c>
      <c r="H37" s="8" t="s">
        <v>41</v>
      </c>
      <c r="I37" s="8" t="s">
        <v>19</v>
      </c>
      <c r="J37" s="8"/>
      <c r="K37" s="8"/>
      <c r="L37" s="19"/>
      <c r="M37" s="13" t="s">
        <v>142</v>
      </c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4.4" x14ac:dyDescent="0.3">
      <c r="A38" s="7">
        <v>37</v>
      </c>
      <c r="B38" s="3" t="s">
        <v>143</v>
      </c>
      <c r="C38" s="7" t="s">
        <v>14</v>
      </c>
      <c r="D38" s="8">
        <v>3</v>
      </c>
      <c r="E38" s="8" t="s">
        <v>15</v>
      </c>
      <c r="F38" s="8" t="s">
        <v>101</v>
      </c>
      <c r="G38" s="8" t="s">
        <v>102</v>
      </c>
      <c r="H38" s="8" t="s">
        <v>41</v>
      </c>
      <c r="I38" s="8" t="s">
        <v>19</v>
      </c>
      <c r="J38" s="8">
        <v>2000000</v>
      </c>
      <c r="K38" s="8">
        <v>0</v>
      </c>
      <c r="L38" s="8" t="s">
        <v>108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4.4" hidden="1" x14ac:dyDescent="0.3">
      <c r="A39" s="7">
        <v>38</v>
      </c>
      <c r="B39" s="3" t="s">
        <v>144</v>
      </c>
      <c r="C39" s="7" t="s">
        <v>145</v>
      </c>
      <c r="D39" s="8">
        <v>4</v>
      </c>
      <c r="E39" s="8" t="s">
        <v>32</v>
      </c>
      <c r="F39" s="8" t="s">
        <v>29</v>
      </c>
      <c r="G39" s="8" t="s">
        <v>33</v>
      </c>
      <c r="H39" s="8" t="s">
        <v>146</v>
      </c>
      <c r="I39" s="8" t="s">
        <v>112</v>
      </c>
      <c r="J39" s="8">
        <v>800000</v>
      </c>
      <c r="K39" s="8">
        <v>2</v>
      </c>
      <c r="L39" s="8" t="s">
        <v>67</v>
      </c>
      <c r="M39" s="13" t="s">
        <v>147</v>
      </c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4.4" hidden="1" x14ac:dyDescent="0.3">
      <c r="A40" s="7">
        <v>39</v>
      </c>
      <c r="B40" s="3" t="s">
        <v>148</v>
      </c>
      <c r="C40" s="7" t="s">
        <v>23</v>
      </c>
      <c r="D40" s="8">
        <v>3</v>
      </c>
      <c r="E40" s="8" t="s">
        <v>15</v>
      </c>
      <c r="F40" s="8" t="s">
        <v>45</v>
      </c>
      <c r="G40" s="8" t="s">
        <v>149</v>
      </c>
      <c r="H40" s="8" t="s">
        <v>146</v>
      </c>
      <c r="I40" s="8" t="s">
        <v>150</v>
      </c>
      <c r="J40" s="8">
        <v>100000000</v>
      </c>
      <c r="K40" s="8">
        <v>1</v>
      </c>
      <c r="L40" s="8" t="s">
        <v>30</v>
      </c>
      <c r="M40" s="13" t="s">
        <v>151</v>
      </c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4.4" hidden="1" x14ac:dyDescent="0.3">
      <c r="A41" s="7">
        <v>40</v>
      </c>
      <c r="B41" s="3" t="s">
        <v>152</v>
      </c>
      <c r="C41" s="7" t="s">
        <v>14</v>
      </c>
      <c r="D41" s="8">
        <v>3</v>
      </c>
      <c r="E41" s="8" t="s">
        <v>15</v>
      </c>
      <c r="F41" s="8" t="s">
        <v>29</v>
      </c>
      <c r="G41" s="8" t="s">
        <v>102</v>
      </c>
      <c r="H41" s="8" t="s">
        <v>146</v>
      </c>
      <c r="I41" s="8" t="s">
        <v>150</v>
      </c>
      <c r="J41" s="8">
        <v>10000000</v>
      </c>
      <c r="K41" s="8">
        <v>1</v>
      </c>
      <c r="L41" s="8" t="s">
        <v>30</v>
      </c>
      <c r="M41" s="13" t="s">
        <v>153</v>
      </c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4.4" hidden="1" x14ac:dyDescent="0.3">
      <c r="A42" s="7">
        <v>41</v>
      </c>
      <c r="B42" s="3" t="s">
        <v>154</v>
      </c>
      <c r="C42" s="7" t="s">
        <v>14</v>
      </c>
      <c r="D42" s="8">
        <v>5</v>
      </c>
      <c r="E42" s="8" t="s">
        <v>15</v>
      </c>
      <c r="F42" s="8" t="s">
        <v>87</v>
      </c>
      <c r="G42" s="8" t="s">
        <v>149</v>
      </c>
      <c r="H42" s="8" t="s">
        <v>155</v>
      </c>
      <c r="I42" s="8" t="s">
        <v>150</v>
      </c>
      <c r="J42" s="8">
        <v>10000000</v>
      </c>
      <c r="K42" s="8">
        <v>2</v>
      </c>
      <c r="L42" s="8" t="s">
        <v>156</v>
      </c>
      <c r="M42" s="13" t="s">
        <v>157</v>
      </c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4.4" hidden="1" x14ac:dyDescent="0.3">
      <c r="A43" s="7">
        <v>42</v>
      </c>
      <c r="B43" s="3" t="s">
        <v>158</v>
      </c>
      <c r="C43" s="7" t="s">
        <v>14</v>
      </c>
      <c r="D43" s="8">
        <v>3</v>
      </c>
      <c r="E43" s="8" t="s">
        <v>15</v>
      </c>
      <c r="F43" s="8" t="s">
        <v>45</v>
      </c>
      <c r="G43" s="8" t="s">
        <v>17</v>
      </c>
      <c r="H43" s="8" t="s">
        <v>41</v>
      </c>
      <c r="I43" s="8" t="s">
        <v>150</v>
      </c>
      <c r="J43" s="8">
        <v>100000</v>
      </c>
      <c r="K43" s="8">
        <v>0</v>
      </c>
      <c r="L43" s="8" t="s">
        <v>30</v>
      </c>
      <c r="M43" s="13" t="s">
        <v>159</v>
      </c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4.4" hidden="1" x14ac:dyDescent="0.3">
      <c r="A44" s="7">
        <v>43</v>
      </c>
      <c r="B44" s="3" t="s">
        <v>160</v>
      </c>
      <c r="C44" s="7" t="s">
        <v>14</v>
      </c>
      <c r="D44" s="8">
        <v>5</v>
      </c>
      <c r="E44" s="8" t="s">
        <v>15</v>
      </c>
      <c r="F44" s="8" t="s">
        <v>40</v>
      </c>
      <c r="G44" s="8" t="s">
        <v>17</v>
      </c>
      <c r="H44" s="8" t="s">
        <v>18</v>
      </c>
      <c r="I44" s="8" t="s">
        <v>150</v>
      </c>
      <c r="J44" s="8">
        <v>8000000</v>
      </c>
      <c r="K44" s="8">
        <v>0</v>
      </c>
      <c r="L44" s="8" t="s">
        <v>161</v>
      </c>
      <c r="M44" s="13" t="s">
        <v>162</v>
      </c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4.4" x14ac:dyDescent="0.3">
      <c r="A45" s="1">
        <v>44</v>
      </c>
      <c r="B45" s="3" t="s">
        <v>163</v>
      </c>
      <c r="C45" s="7" t="s">
        <v>164</v>
      </c>
      <c r="D45" s="20">
        <v>6</v>
      </c>
      <c r="E45" s="8" t="s">
        <v>15</v>
      </c>
      <c r="F45" s="8" t="s">
        <v>40</v>
      </c>
      <c r="G45" s="8" t="s">
        <v>33</v>
      </c>
      <c r="H45" s="8" t="s">
        <v>41</v>
      </c>
      <c r="I45" s="8" t="s">
        <v>112</v>
      </c>
      <c r="J45" s="8" t="s">
        <v>165</v>
      </c>
      <c r="K45" s="8">
        <v>2</v>
      </c>
      <c r="L45" s="8" t="s">
        <v>67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ht="14.4" hidden="1" x14ac:dyDescent="0.3">
      <c r="A46" s="7">
        <v>45</v>
      </c>
      <c r="B46" s="3" t="s">
        <v>166</v>
      </c>
      <c r="C46" s="7" t="s">
        <v>23</v>
      </c>
      <c r="D46" s="8">
        <v>3</v>
      </c>
      <c r="E46" s="8" t="s">
        <v>15</v>
      </c>
      <c r="F46" s="8" t="s">
        <v>45</v>
      </c>
      <c r="G46" s="8" t="s">
        <v>102</v>
      </c>
      <c r="H46" s="8" t="s">
        <v>41</v>
      </c>
      <c r="I46" s="8" t="s">
        <v>88</v>
      </c>
      <c r="J46" s="8">
        <v>100000</v>
      </c>
      <c r="K46" s="8">
        <v>2</v>
      </c>
      <c r="L46" s="8" t="s">
        <v>30</v>
      </c>
      <c r="M46" s="13" t="s">
        <v>167</v>
      </c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4.4" x14ac:dyDescent="0.3">
      <c r="A47" s="22">
        <v>46</v>
      </c>
      <c r="B47" s="2" t="s">
        <v>168</v>
      </c>
      <c r="C47" s="22" t="s">
        <v>169</v>
      </c>
      <c r="D47" s="20">
        <v>5</v>
      </c>
      <c r="E47" s="8" t="s">
        <v>15</v>
      </c>
      <c r="F47" s="23"/>
      <c r="G47" s="23"/>
      <c r="H47" s="23"/>
      <c r="I47" s="23"/>
      <c r="J47" s="23"/>
      <c r="K47" s="23"/>
      <c r="L47" s="23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ht="14.4" hidden="1" x14ac:dyDescent="0.3">
      <c r="A48" s="7">
        <v>48</v>
      </c>
      <c r="B48" s="3" t="s">
        <v>170</v>
      </c>
      <c r="C48" s="7" t="s">
        <v>169</v>
      </c>
      <c r="D48" s="8">
        <v>4</v>
      </c>
      <c r="E48" s="8" t="s">
        <v>15</v>
      </c>
      <c r="F48" s="8" t="s">
        <v>87</v>
      </c>
      <c r="G48" s="8" t="s">
        <v>33</v>
      </c>
      <c r="H48" s="8" t="s">
        <v>41</v>
      </c>
      <c r="I48" s="8" t="s">
        <v>88</v>
      </c>
      <c r="J48" s="8">
        <v>100000000</v>
      </c>
      <c r="K48" s="8">
        <v>0</v>
      </c>
      <c r="L48" s="8" t="s">
        <v>171</v>
      </c>
      <c r="M48" s="13" t="s">
        <v>172</v>
      </c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4.4" x14ac:dyDescent="0.3">
      <c r="A49" s="7">
        <v>49</v>
      </c>
      <c r="B49" s="3" t="s">
        <v>173</v>
      </c>
      <c r="C49" s="1" t="s">
        <v>174</v>
      </c>
      <c r="D49" s="8"/>
      <c r="E49" s="8" t="s">
        <v>15</v>
      </c>
      <c r="F49" s="8"/>
      <c r="G49" s="8"/>
      <c r="H49" s="8"/>
      <c r="I49" s="8"/>
      <c r="J49" s="8"/>
      <c r="K49" s="8"/>
      <c r="L49" s="8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4.4" hidden="1" x14ac:dyDescent="0.3">
      <c r="A50" s="7">
        <v>50</v>
      </c>
      <c r="B50" s="2" t="s">
        <v>175</v>
      </c>
      <c r="C50" s="7" t="s">
        <v>176</v>
      </c>
      <c r="D50" s="25">
        <v>3</v>
      </c>
      <c r="E50" s="8" t="s">
        <v>15</v>
      </c>
      <c r="F50" s="25" t="s">
        <v>125</v>
      </c>
      <c r="G50" s="25" t="s">
        <v>33</v>
      </c>
      <c r="H50" s="25" t="s">
        <v>41</v>
      </c>
      <c r="I50" s="25" t="s">
        <v>112</v>
      </c>
      <c r="J50" s="8" t="s">
        <v>177</v>
      </c>
      <c r="K50" s="8">
        <v>0</v>
      </c>
      <c r="L50" s="8" t="s">
        <v>67</v>
      </c>
      <c r="M50" s="10" t="s">
        <v>178</v>
      </c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4.4" hidden="1" x14ac:dyDescent="0.3">
      <c r="A51" s="7">
        <v>51</v>
      </c>
      <c r="B51" s="2" t="s">
        <v>179</v>
      </c>
      <c r="C51" s="7" t="s">
        <v>180</v>
      </c>
      <c r="D51" s="8">
        <v>4</v>
      </c>
      <c r="E51" s="8" t="s">
        <v>15</v>
      </c>
      <c r="F51" s="8" t="s">
        <v>29</v>
      </c>
      <c r="G51" s="8" t="s">
        <v>33</v>
      </c>
      <c r="H51" s="8" t="s">
        <v>18</v>
      </c>
      <c r="I51" s="8" t="s">
        <v>112</v>
      </c>
      <c r="J51" s="8" t="s">
        <v>181</v>
      </c>
      <c r="K51" s="8">
        <v>1</v>
      </c>
      <c r="L51" s="8" t="s">
        <v>67</v>
      </c>
      <c r="M51" s="13" t="s">
        <v>182</v>
      </c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4.4" hidden="1" x14ac:dyDescent="0.3">
      <c r="A52" s="7">
        <v>52</v>
      </c>
      <c r="B52" s="2" t="s">
        <v>183</v>
      </c>
      <c r="C52" s="7" t="s">
        <v>14</v>
      </c>
      <c r="D52" s="8">
        <v>5</v>
      </c>
      <c r="E52" s="8" t="s">
        <v>15</v>
      </c>
      <c r="F52" s="8" t="s">
        <v>87</v>
      </c>
      <c r="G52" s="8" t="s">
        <v>33</v>
      </c>
      <c r="H52" s="8" t="s">
        <v>18</v>
      </c>
      <c r="I52" s="8" t="s">
        <v>112</v>
      </c>
      <c r="J52" s="8" t="s">
        <v>177</v>
      </c>
      <c r="K52" s="8">
        <v>0</v>
      </c>
      <c r="L52" s="8" t="s">
        <v>67</v>
      </c>
      <c r="M52" s="13" t="s">
        <v>184</v>
      </c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4.4" hidden="1" x14ac:dyDescent="0.3">
      <c r="A53" s="7">
        <v>53</v>
      </c>
      <c r="B53" s="3" t="s">
        <v>185</v>
      </c>
      <c r="C53" s="7" t="s">
        <v>14</v>
      </c>
      <c r="D53" s="8">
        <v>3</v>
      </c>
      <c r="E53" s="8" t="s">
        <v>15</v>
      </c>
      <c r="F53" s="8" t="s">
        <v>87</v>
      </c>
      <c r="G53" s="8" t="s">
        <v>33</v>
      </c>
      <c r="H53" s="8" t="s">
        <v>18</v>
      </c>
      <c r="I53" s="8" t="s">
        <v>88</v>
      </c>
      <c r="J53" s="26">
        <v>500000</v>
      </c>
      <c r="K53" s="8">
        <v>0</v>
      </c>
      <c r="L53" s="8" t="s">
        <v>30</v>
      </c>
      <c r="M53" s="13" t="s">
        <v>186</v>
      </c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4.4" x14ac:dyDescent="0.3">
      <c r="A54" s="7">
        <v>54</v>
      </c>
      <c r="B54" s="3" t="s">
        <v>187</v>
      </c>
      <c r="C54" s="7" t="s">
        <v>23</v>
      </c>
      <c r="D54" s="8">
        <v>3</v>
      </c>
      <c r="E54" s="8"/>
      <c r="F54" s="8"/>
      <c r="G54" s="8"/>
      <c r="H54" s="8"/>
      <c r="I54" s="8"/>
      <c r="J54" s="8"/>
      <c r="K54" s="8"/>
      <c r="L54" s="8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4.4" x14ac:dyDescent="0.3">
      <c r="A55" s="7">
        <v>55</v>
      </c>
      <c r="B55" s="3" t="s">
        <v>188</v>
      </c>
      <c r="C55" s="7"/>
      <c r="D55" s="8"/>
      <c r="E55" s="8"/>
      <c r="F55" s="8"/>
      <c r="G55" s="8"/>
      <c r="H55" s="8"/>
      <c r="I55" s="8"/>
      <c r="J55" s="8"/>
      <c r="K55" s="8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4.4" x14ac:dyDescent="0.3">
      <c r="A56" s="7">
        <v>56</v>
      </c>
      <c r="B56" s="3" t="s">
        <v>189</v>
      </c>
      <c r="C56" s="7" t="s">
        <v>70</v>
      </c>
      <c r="D56" s="8">
        <v>3</v>
      </c>
      <c r="E56" s="8" t="s">
        <v>15</v>
      </c>
      <c r="F56" s="8" t="s">
        <v>16</v>
      </c>
      <c r="G56" s="8" t="s">
        <v>17</v>
      </c>
      <c r="H56" s="8" t="s">
        <v>18</v>
      </c>
      <c r="I56" s="8" t="s">
        <v>19</v>
      </c>
      <c r="J56" s="8">
        <v>1000000</v>
      </c>
      <c r="K56" s="8">
        <v>0</v>
      </c>
      <c r="L56" s="8" t="s">
        <v>108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4.4" hidden="1" x14ac:dyDescent="0.3">
      <c r="A57" s="7">
        <v>57</v>
      </c>
      <c r="B57" s="3" t="s">
        <v>190</v>
      </c>
      <c r="C57" s="7" t="s">
        <v>23</v>
      </c>
      <c r="D57" s="8">
        <v>9</v>
      </c>
      <c r="E57" s="8" t="s">
        <v>15</v>
      </c>
      <c r="F57" s="8" t="s">
        <v>125</v>
      </c>
      <c r="G57" s="8" t="s">
        <v>102</v>
      </c>
      <c r="H57" s="8" t="s">
        <v>18</v>
      </c>
      <c r="I57" s="8" t="s">
        <v>19</v>
      </c>
      <c r="J57" s="8">
        <v>80000</v>
      </c>
      <c r="K57" s="8">
        <v>0</v>
      </c>
      <c r="L57" s="8" t="s">
        <v>35</v>
      </c>
      <c r="M57" s="10" t="s">
        <v>191</v>
      </c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4.4" x14ac:dyDescent="0.3">
      <c r="A58" s="7">
        <v>58</v>
      </c>
      <c r="B58" s="3" t="s">
        <v>192</v>
      </c>
      <c r="C58" s="7" t="s">
        <v>14</v>
      </c>
      <c r="D58" s="8">
        <v>10</v>
      </c>
      <c r="E58" s="8"/>
      <c r="F58" s="8"/>
      <c r="G58" s="8"/>
      <c r="H58" s="8"/>
      <c r="I58" s="8"/>
      <c r="J58" s="8"/>
      <c r="K58" s="8"/>
      <c r="L58" s="8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4.4" x14ac:dyDescent="0.3">
      <c r="A59" s="7">
        <v>59</v>
      </c>
      <c r="B59" s="3" t="s">
        <v>193</v>
      </c>
      <c r="C59" s="7" t="s">
        <v>14</v>
      </c>
      <c r="D59" s="8">
        <v>3</v>
      </c>
      <c r="E59" s="8" t="s">
        <v>15</v>
      </c>
      <c r="F59" s="8" t="s">
        <v>45</v>
      </c>
      <c r="G59" s="8" t="s">
        <v>33</v>
      </c>
      <c r="H59" s="8" t="s">
        <v>41</v>
      </c>
      <c r="I59" s="8" t="s">
        <v>88</v>
      </c>
      <c r="J59" s="8">
        <v>101</v>
      </c>
      <c r="K59" s="8">
        <v>1</v>
      </c>
      <c r="L59" s="8" t="s">
        <v>30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4.4" x14ac:dyDescent="0.3">
      <c r="A60" s="7">
        <v>60</v>
      </c>
      <c r="B60" s="3" t="s">
        <v>194</v>
      </c>
      <c r="C60" s="7" t="s">
        <v>195</v>
      </c>
      <c r="D60" s="8">
        <v>5</v>
      </c>
      <c r="E60" s="8" t="s">
        <v>196</v>
      </c>
      <c r="F60" s="8" t="s">
        <v>197</v>
      </c>
      <c r="G60" s="8" t="s">
        <v>102</v>
      </c>
      <c r="H60" s="8" t="s">
        <v>51</v>
      </c>
      <c r="I60" s="8" t="s">
        <v>198</v>
      </c>
      <c r="J60" s="8">
        <v>1000000000</v>
      </c>
      <c r="K60" s="8">
        <v>0</v>
      </c>
      <c r="L60" s="8" t="s">
        <v>52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3.2" x14ac:dyDescent="0.25">
      <c r="A61" s="6">
        <f>MAX(A2:A60)</f>
        <v>60</v>
      </c>
      <c r="B61" s="27"/>
      <c r="C61" s="6">
        <f>COUNTIF(C2:C60, "Samsung")</f>
        <v>10</v>
      </c>
      <c r="D61" s="6">
        <f>SUM(D1:D60)</f>
        <v>228</v>
      </c>
      <c r="E61" s="6"/>
      <c r="F61" s="6"/>
      <c r="G61" s="6"/>
      <c r="H61" s="6"/>
      <c r="I61" s="6"/>
      <c r="J61" s="6">
        <f>AVERAGE(J1:J60)</f>
        <v>63305725.727272727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3.2" x14ac:dyDescent="0.25">
      <c r="A62" s="6"/>
      <c r="B62" s="27"/>
      <c r="C62" s="6">
        <f>COUNTIF(C2:C60, "Apple")</f>
        <v>16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3.2" x14ac:dyDescent="0.25">
      <c r="A63" s="6"/>
      <c r="B63" s="2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3.2" x14ac:dyDescent="0.25">
      <c r="A64" s="6"/>
      <c r="B64" s="2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3.2" x14ac:dyDescent="0.25">
      <c r="A65" s="6"/>
      <c r="B65" s="2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3.2" x14ac:dyDescent="0.25">
      <c r="A66" s="6"/>
      <c r="B66" s="2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3.2" x14ac:dyDescent="0.25">
      <c r="A67" s="6"/>
      <c r="B67" s="2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3.2" x14ac:dyDescent="0.25">
      <c r="A68" s="6"/>
      <c r="B68" s="2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3.2" x14ac:dyDescent="0.25">
      <c r="A69" s="6"/>
      <c r="B69" s="2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3.2" x14ac:dyDescent="0.25">
      <c r="A70" s="6"/>
      <c r="B70" s="2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3.2" x14ac:dyDescent="0.25">
      <c r="A71" s="6"/>
      <c r="B71" s="2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3.2" x14ac:dyDescent="0.25">
      <c r="A72" s="6"/>
      <c r="B72" s="2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3.2" x14ac:dyDescent="0.25">
      <c r="A73" s="6"/>
      <c r="B73" s="2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3.2" x14ac:dyDescent="0.25">
      <c r="A74" s="6"/>
      <c r="B74" s="2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3.2" x14ac:dyDescent="0.25">
      <c r="A75" s="6"/>
      <c r="B75" s="2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3.2" x14ac:dyDescent="0.25">
      <c r="A76" s="6"/>
      <c r="B76" s="2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3.2" x14ac:dyDescent="0.25">
      <c r="A77" s="6"/>
      <c r="B77" s="2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3.2" x14ac:dyDescent="0.25">
      <c r="A78" s="6"/>
      <c r="B78" s="2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3.2" x14ac:dyDescent="0.25">
      <c r="A79" s="6"/>
      <c r="B79" s="2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3.2" x14ac:dyDescent="0.25">
      <c r="A80" s="6"/>
      <c r="B80" s="2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3.2" x14ac:dyDescent="0.25">
      <c r="A81" s="6"/>
      <c r="B81" s="2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3.2" x14ac:dyDescent="0.25">
      <c r="A82" s="6"/>
      <c r="B82" s="2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3.2" x14ac:dyDescent="0.25">
      <c r="A83" s="6"/>
      <c r="B83" s="2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3.2" x14ac:dyDescent="0.25">
      <c r="A84" s="6"/>
      <c r="B84" s="2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3.2" x14ac:dyDescent="0.25">
      <c r="A85" s="6"/>
      <c r="B85" s="2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3.2" x14ac:dyDescent="0.25">
      <c r="A86" s="6"/>
      <c r="B86" s="2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3.2" x14ac:dyDescent="0.25">
      <c r="A87" s="6"/>
      <c r="B87" s="2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3.2" x14ac:dyDescent="0.25">
      <c r="A88" s="6"/>
      <c r="B88" s="2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3.2" x14ac:dyDescent="0.25">
      <c r="A89" s="6"/>
      <c r="B89" s="2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3.2" x14ac:dyDescent="0.25">
      <c r="A90" s="6"/>
      <c r="B90" s="2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3.2" x14ac:dyDescent="0.25">
      <c r="A91" s="6"/>
      <c r="B91" s="2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3.2" x14ac:dyDescent="0.25">
      <c r="A92" s="6"/>
      <c r="B92" s="2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3.2" x14ac:dyDescent="0.25">
      <c r="A93" s="6"/>
      <c r="B93" s="2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3.2" x14ac:dyDescent="0.25">
      <c r="A94" s="6"/>
      <c r="B94" s="2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3.2" x14ac:dyDescent="0.25">
      <c r="A95" s="6"/>
      <c r="B95" s="2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3.2" x14ac:dyDescent="0.25">
      <c r="A96" s="6"/>
      <c r="B96" s="2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3.2" x14ac:dyDescent="0.25">
      <c r="A97" s="6"/>
      <c r="B97" s="2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3.2" x14ac:dyDescent="0.25">
      <c r="A98" s="6"/>
      <c r="B98" s="2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3.2" x14ac:dyDescent="0.25">
      <c r="A99" s="6"/>
      <c r="B99" s="2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3.2" x14ac:dyDescent="0.25">
      <c r="A100" s="6"/>
      <c r="B100" s="2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3.2" x14ac:dyDescent="0.25">
      <c r="A101" s="6"/>
      <c r="B101" s="2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3.2" x14ac:dyDescent="0.25">
      <c r="A102" s="6"/>
      <c r="B102" s="2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3.2" x14ac:dyDescent="0.25">
      <c r="A103" s="6"/>
      <c r="B103" s="2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3.2" x14ac:dyDescent="0.25">
      <c r="A104" s="6"/>
      <c r="B104" s="2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3.2" x14ac:dyDescent="0.25">
      <c r="A105" s="6"/>
      <c r="B105" s="2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3.2" x14ac:dyDescent="0.25">
      <c r="A106" s="6"/>
      <c r="B106" s="2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3.2" x14ac:dyDescent="0.25">
      <c r="A107" s="6"/>
      <c r="B107" s="2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3.2" x14ac:dyDescent="0.25">
      <c r="A108" s="6"/>
      <c r="B108" s="2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3.2" x14ac:dyDescent="0.25">
      <c r="A109" s="6"/>
      <c r="B109" s="2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3.2" x14ac:dyDescent="0.25">
      <c r="A110" s="6"/>
      <c r="B110" s="2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3.2" x14ac:dyDescent="0.25">
      <c r="A111" s="6"/>
      <c r="B111" s="2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3.2" x14ac:dyDescent="0.25">
      <c r="A112" s="6"/>
      <c r="B112" s="2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3.2" x14ac:dyDescent="0.25">
      <c r="A113" s="6"/>
      <c r="B113" s="2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3.2" x14ac:dyDescent="0.25">
      <c r="A114" s="6"/>
      <c r="B114" s="2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3.2" x14ac:dyDescent="0.25">
      <c r="A115" s="6"/>
      <c r="B115" s="2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3.2" x14ac:dyDescent="0.25">
      <c r="A116" s="6"/>
      <c r="B116" s="2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3.2" x14ac:dyDescent="0.25">
      <c r="A117" s="6"/>
      <c r="B117" s="2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3.2" x14ac:dyDescent="0.25">
      <c r="A118" s="6"/>
      <c r="B118" s="2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3.2" x14ac:dyDescent="0.25">
      <c r="A119" s="6"/>
      <c r="B119" s="2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3.2" x14ac:dyDescent="0.25">
      <c r="A120" s="6"/>
      <c r="B120" s="2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3.2" x14ac:dyDescent="0.25">
      <c r="A121" s="6"/>
      <c r="B121" s="2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3.2" x14ac:dyDescent="0.25">
      <c r="A122" s="6"/>
      <c r="B122" s="2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3.2" x14ac:dyDescent="0.25">
      <c r="A123" s="6"/>
      <c r="B123" s="2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3.2" x14ac:dyDescent="0.25">
      <c r="A124" s="6"/>
      <c r="B124" s="2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3.2" x14ac:dyDescent="0.25">
      <c r="A125" s="6"/>
      <c r="B125" s="2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3.2" x14ac:dyDescent="0.25">
      <c r="A126" s="6"/>
      <c r="B126" s="2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3.2" x14ac:dyDescent="0.25">
      <c r="A127" s="6"/>
      <c r="B127" s="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3.2" x14ac:dyDescent="0.25">
      <c r="A128" s="6"/>
      <c r="B128" s="2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3.2" x14ac:dyDescent="0.25">
      <c r="A129" s="6"/>
      <c r="B129" s="2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3.2" x14ac:dyDescent="0.25">
      <c r="A130" s="6"/>
      <c r="B130" s="2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3.2" x14ac:dyDescent="0.25">
      <c r="A131" s="6"/>
      <c r="B131" s="2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3.2" x14ac:dyDescent="0.25">
      <c r="A132" s="6"/>
      <c r="B132" s="2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3.2" x14ac:dyDescent="0.25">
      <c r="A133" s="6"/>
      <c r="B133" s="2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3.2" x14ac:dyDescent="0.25">
      <c r="A134" s="6"/>
      <c r="B134" s="2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3.2" x14ac:dyDescent="0.25">
      <c r="A135" s="6"/>
      <c r="B135" s="2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3.2" x14ac:dyDescent="0.25">
      <c r="A136" s="6"/>
      <c r="B136" s="2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3.2" x14ac:dyDescent="0.25">
      <c r="A137" s="6"/>
      <c r="B137" s="2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3.2" x14ac:dyDescent="0.25">
      <c r="A138" s="6"/>
      <c r="B138" s="2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3.2" x14ac:dyDescent="0.25">
      <c r="A139" s="6"/>
      <c r="B139" s="2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3.2" x14ac:dyDescent="0.25">
      <c r="A140" s="6"/>
      <c r="B140" s="2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3.2" x14ac:dyDescent="0.25">
      <c r="A141" s="6"/>
      <c r="B141" s="2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3.2" x14ac:dyDescent="0.25">
      <c r="A142" s="6"/>
      <c r="B142" s="2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3.2" x14ac:dyDescent="0.25">
      <c r="A143" s="6"/>
      <c r="B143" s="2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3.2" x14ac:dyDescent="0.25">
      <c r="A144" s="6"/>
      <c r="B144" s="2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3.2" x14ac:dyDescent="0.25">
      <c r="A145" s="6"/>
      <c r="B145" s="2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3.2" x14ac:dyDescent="0.25">
      <c r="A146" s="6"/>
      <c r="B146" s="2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3.2" x14ac:dyDescent="0.25">
      <c r="A147" s="6"/>
      <c r="B147" s="2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3.2" x14ac:dyDescent="0.25">
      <c r="A148" s="6"/>
      <c r="B148" s="2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3.2" x14ac:dyDescent="0.25">
      <c r="A149" s="6"/>
      <c r="B149" s="2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3.2" x14ac:dyDescent="0.25">
      <c r="A150" s="6"/>
      <c r="B150" s="2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3.2" x14ac:dyDescent="0.25">
      <c r="A151" s="6"/>
      <c r="B151" s="2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3.2" x14ac:dyDescent="0.25">
      <c r="A152" s="6"/>
      <c r="B152" s="2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3.2" x14ac:dyDescent="0.25">
      <c r="A153" s="6"/>
      <c r="B153" s="2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3.2" x14ac:dyDescent="0.25">
      <c r="A154" s="6"/>
      <c r="B154" s="2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3.2" x14ac:dyDescent="0.25">
      <c r="A155" s="6"/>
      <c r="B155" s="2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3.2" x14ac:dyDescent="0.25">
      <c r="A156" s="6"/>
      <c r="B156" s="2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3.2" x14ac:dyDescent="0.25">
      <c r="A157" s="6"/>
      <c r="B157" s="2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3.2" x14ac:dyDescent="0.25">
      <c r="A158" s="6"/>
      <c r="B158" s="2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3.2" x14ac:dyDescent="0.25">
      <c r="A159" s="6"/>
      <c r="B159" s="2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3.2" x14ac:dyDescent="0.25">
      <c r="A160" s="6"/>
      <c r="B160" s="2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3.2" x14ac:dyDescent="0.25">
      <c r="A161" s="6"/>
      <c r="B161" s="2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3.2" x14ac:dyDescent="0.25">
      <c r="A162" s="6"/>
      <c r="B162" s="2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3.2" x14ac:dyDescent="0.25">
      <c r="A163" s="6"/>
      <c r="B163" s="2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3.2" x14ac:dyDescent="0.25">
      <c r="A164" s="6"/>
      <c r="B164" s="2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3.2" x14ac:dyDescent="0.25">
      <c r="A165" s="6"/>
      <c r="B165" s="2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3.2" x14ac:dyDescent="0.25">
      <c r="A166" s="6"/>
      <c r="B166" s="2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3.2" x14ac:dyDescent="0.25">
      <c r="A167" s="6"/>
      <c r="B167" s="2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3.2" x14ac:dyDescent="0.25">
      <c r="A168" s="6"/>
      <c r="B168" s="2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3.2" x14ac:dyDescent="0.25">
      <c r="A169" s="6"/>
      <c r="B169" s="2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3.2" x14ac:dyDescent="0.25">
      <c r="A170" s="6"/>
      <c r="B170" s="2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3.2" x14ac:dyDescent="0.25">
      <c r="A171" s="6"/>
      <c r="B171" s="2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3.2" x14ac:dyDescent="0.25">
      <c r="A172" s="6"/>
      <c r="B172" s="2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3.2" x14ac:dyDescent="0.25">
      <c r="A173" s="6"/>
      <c r="B173" s="2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3.2" x14ac:dyDescent="0.25">
      <c r="A174" s="6"/>
      <c r="B174" s="2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3.2" x14ac:dyDescent="0.25">
      <c r="A175" s="6"/>
      <c r="B175" s="2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3.2" x14ac:dyDescent="0.25">
      <c r="A176" s="6"/>
      <c r="B176" s="2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3.2" x14ac:dyDescent="0.25">
      <c r="A177" s="6"/>
      <c r="B177" s="2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3.2" x14ac:dyDescent="0.25">
      <c r="A178" s="6"/>
      <c r="B178" s="2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3.2" x14ac:dyDescent="0.25">
      <c r="A179" s="6"/>
      <c r="B179" s="2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3.2" x14ac:dyDescent="0.25">
      <c r="A180" s="6"/>
      <c r="B180" s="2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3.2" x14ac:dyDescent="0.25">
      <c r="A181" s="6"/>
      <c r="B181" s="2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3.2" x14ac:dyDescent="0.25">
      <c r="A182" s="6"/>
      <c r="B182" s="2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3.2" x14ac:dyDescent="0.25">
      <c r="A183" s="6"/>
      <c r="B183" s="2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3.2" x14ac:dyDescent="0.25">
      <c r="A184" s="6"/>
      <c r="B184" s="2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3.2" x14ac:dyDescent="0.25">
      <c r="A185" s="6"/>
      <c r="B185" s="2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3.2" x14ac:dyDescent="0.25">
      <c r="A186" s="6"/>
      <c r="B186" s="2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3.2" x14ac:dyDescent="0.25">
      <c r="A187" s="6"/>
      <c r="B187" s="2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3.2" x14ac:dyDescent="0.25">
      <c r="A188" s="6"/>
      <c r="B188" s="2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3.2" x14ac:dyDescent="0.25">
      <c r="A189" s="6"/>
      <c r="B189" s="2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3.2" x14ac:dyDescent="0.25">
      <c r="A190" s="6"/>
      <c r="B190" s="2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3.2" x14ac:dyDescent="0.25">
      <c r="A191" s="6"/>
      <c r="B191" s="2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3.2" x14ac:dyDescent="0.25">
      <c r="A192" s="6"/>
      <c r="B192" s="2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3.2" x14ac:dyDescent="0.25">
      <c r="A193" s="6"/>
      <c r="B193" s="2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3.2" x14ac:dyDescent="0.25">
      <c r="A194" s="6"/>
      <c r="B194" s="2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3.2" x14ac:dyDescent="0.25">
      <c r="A195" s="6"/>
      <c r="B195" s="2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3.2" x14ac:dyDescent="0.25">
      <c r="A196" s="6"/>
      <c r="B196" s="2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3.2" x14ac:dyDescent="0.25">
      <c r="A197" s="6"/>
      <c r="B197" s="2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3.2" x14ac:dyDescent="0.25">
      <c r="A198" s="6"/>
      <c r="B198" s="2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3.2" x14ac:dyDescent="0.25">
      <c r="A199" s="6"/>
      <c r="B199" s="2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3.2" x14ac:dyDescent="0.25">
      <c r="A200" s="6"/>
      <c r="B200" s="2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3.2" x14ac:dyDescent="0.25">
      <c r="A201" s="6"/>
      <c r="B201" s="2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3.2" x14ac:dyDescent="0.25">
      <c r="A202" s="6"/>
      <c r="B202" s="2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3.2" x14ac:dyDescent="0.25">
      <c r="A203" s="6"/>
      <c r="B203" s="2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3.2" x14ac:dyDescent="0.25">
      <c r="A204" s="6"/>
      <c r="B204" s="2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3.2" x14ac:dyDescent="0.25">
      <c r="A205" s="6"/>
      <c r="B205" s="2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3.2" x14ac:dyDescent="0.25">
      <c r="A206" s="6"/>
      <c r="B206" s="2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3.2" x14ac:dyDescent="0.25">
      <c r="A207" s="6"/>
      <c r="B207" s="2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3.2" x14ac:dyDescent="0.25">
      <c r="A208" s="6"/>
      <c r="B208" s="2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3.2" x14ac:dyDescent="0.25">
      <c r="A209" s="6"/>
      <c r="B209" s="2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3.2" x14ac:dyDescent="0.25">
      <c r="A210" s="6"/>
      <c r="B210" s="2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3.2" x14ac:dyDescent="0.25">
      <c r="A211" s="6"/>
      <c r="B211" s="2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3.2" x14ac:dyDescent="0.25">
      <c r="A212" s="6"/>
      <c r="B212" s="2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3.2" x14ac:dyDescent="0.25">
      <c r="A213" s="6"/>
      <c r="B213" s="2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3.2" x14ac:dyDescent="0.25">
      <c r="A214" s="6"/>
      <c r="B214" s="2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3.2" x14ac:dyDescent="0.25">
      <c r="A215" s="6"/>
      <c r="B215" s="2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3.2" x14ac:dyDescent="0.25">
      <c r="A216" s="6"/>
      <c r="B216" s="2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3.2" x14ac:dyDescent="0.25">
      <c r="A217" s="6"/>
      <c r="B217" s="2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3.2" x14ac:dyDescent="0.25">
      <c r="A218" s="6"/>
      <c r="B218" s="2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3.2" x14ac:dyDescent="0.25">
      <c r="A219" s="6"/>
      <c r="B219" s="2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3.2" x14ac:dyDescent="0.25">
      <c r="A220" s="6"/>
      <c r="B220" s="2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3.2" x14ac:dyDescent="0.25">
      <c r="A221" s="6"/>
      <c r="B221" s="2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3.2" x14ac:dyDescent="0.25">
      <c r="A222" s="6"/>
      <c r="B222" s="2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3.2" x14ac:dyDescent="0.25">
      <c r="A223" s="6"/>
      <c r="B223" s="2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3.2" x14ac:dyDescent="0.25">
      <c r="A224" s="6"/>
      <c r="B224" s="2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3.2" x14ac:dyDescent="0.25">
      <c r="A225" s="6"/>
      <c r="B225" s="2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3.2" x14ac:dyDescent="0.25">
      <c r="A226" s="6"/>
      <c r="B226" s="2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3.2" x14ac:dyDescent="0.25">
      <c r="A227" s="6"/>
      <c r="B227" s="2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3.2" x14ac:dyDescent="0.25">
      <c r="A228" s="6"/>
      <c r="B228" s="2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3.2" x14ac:dyDescent="0.25">
      <c r="A229" s="6"/>
      <c r="B229" s="2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3.2" x14ac:dyDescent="0.25">
      <c r="A230" s="6"/>
      <c r="B230" s="2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3.2" x14ac:dyDescent="0.25">
      <c r="A231" s="6"/>
      <c r="B231" s="2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3.2" x14ac:dyDescent="0.25">
      <c r="A232" s="6"/>
      <c r="B232" s="2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3.2" x14ac:dyDescent="0.25">
      <c r="A233" s="6"/>
      <c r="B233" s="2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3.2" x14ac:dyDescent="0.25">
      <c r="A234" s="6"/>
      <c r="B234" s="2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3.2" x14ac:dyDescent="0.25">
      <c r="A235" s="6"/>
      <c r="B235" s="2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3.2" x14ac:dyDescent="0.25">
      <c r="A236" s="6"/>
      <c r="B236" s="2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3.2" x14ac:dyDescent="0.25">
      <c r="A237" s="6"/>
      <c r="B237" s="2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3.2" x14ac:dyDescent="0.25">
      <c r="A238" s="6"/>
      <c r="B238" s="2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3.2" x14ac:dyDescent="0.25">
      <c r="A239" s="6"/>
      <c r="B239" s="2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3.2" x14ac:dyDescent="0.25">
      <c r="A240" s="6"/>
      <c r="B240" s="2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3.2" x14ac:dyDescent="0.25">
      <c r="A241" s="6"/>
      <c r="B241" s="2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3.2" x14ac:dyDescent="0.25">
      <c r="A242" s="6"/>
      <c r="B242" s="2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3.2" x14ac:dyDescent="0.25">
      <c r="A243" s="6"/>
      <c r="B243" s="2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3.2" x14ac:dyDescent="0.25">
      <c r="A244" s="6"/>
      <c r="B244" s="2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3.2" x14ac:dyDescent="0.25">
      <c r="A245" s="6"/>
      <c r="B245" s="2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3.2" x14ac:dyDescent="0.25">
      <c r="A246" s="6"/>
      <c r="B246" s="2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3.2" x14ac:dyDescent="0.25">
      <c r="A247" s="6"/>
      <c r="B247" s="2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3.2" x14ac:dyDescent="0.25">
      <c r="A248" s="6"/>
      <c r="B248" s="2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3.2" x14ac:dyDescent="0.25">
      <c r="A249" s="6"/>
      <c r="B249" s="2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3.2" x14ac:dyDescent="0.25">
      <c r="A250" s="6"/>
      <c r="B250" s="2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3.2" x14ac:dyDescent="0.25">
      <c r="A251" s="6"/>
      <c r="B251" s="2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3.2" x14ac:dyDescent="0.25">
      <c r="A252" s="6"/>
      <c r="B252" s="2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3.2" x14ac:dyDescent="0.25">
      <c r="A253" s="6"/>
      <c r="B253" s="2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3.2" x14ac:dyDescent="0.25">
      <c r="A254" s="6"/>
      <c r="B254" s="2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3.2" x14ac:dyDescent="0.25">
      <c r="A255" s="6"/>
      <c r="B255" s="2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3.2" x14ac:dyDescent="0.25">
      <c r="A256" s="6"/>
      <c r="B256" s="2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3.2" x14ac:dyDescent="0.25">
      <c r="A257" s="6"/>
      <c r="B257" s="2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3.2" x14ac:dyDescent="0.25">
      <c r="A258" s="6"/>
      <c r="B258" s="2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3.2" x14ac:dyDescent="0.25">
      <c r="A259" s="6"/>
      <c r="B259" s="2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3.2" x14ac:dyDescent="0.25">
      <c r="A260" s="6"/>
      <c r="B260" s="2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3.2" x14ac:dyDescent="0.25">
      <c r="A261" s="6"/>
      <c r="B261" s="2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3.2" x14ac:dyDescent="0.25">
      <c r="A262" s="6"/>
      <c r="B262" s="2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3.2" x14ac:dyDescent="0.25">
      <c r="A263" s="6"/>
      <c r="B263" s="2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3.2" x14ac:dyDescent="0.25">
      <c r="A264" s="6"/>
      <c r="B264" s="2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3.2" x14ac:dyDescent="0.25">
      <c r="A265" s="6"/>
      <c r="B265" s="2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3.2" x14ac:dyDescent="0.25">
      <c r="A266" s="6"/>
      <c r="B266" s="2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3.2" x14ac:dyDescent="0.25">
      <c r="A267" s="6"/>
      <c r="B267" s="2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3.2" x14ac:dyDescent="0.25">
      <c r="A268" s="6"/>
      <c r="B268" s="2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3.2" x14ac:dyDescent="0.25">
      <c r="A269" s="6"/>
      <c r="B269" s="2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3.2" x14ac:dyDescent="0.25">
      <c r="A270" s="6"/>
      <c r="B270" s="2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3.2" x14ac:dyDescent="0.25">
      <c r="A271" s="6"/>
      <c r="B271" s="2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3.2" x14ac:dyDescent="0.25">
      <c r="A272" s="6"/>
      <c r="B272" s="2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3.2" x14ac:dyDescent="0.25">
      <c r="A273" s="6"/>
      <c r="B273" s="2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3.2" x14ac:dyDescent="0.25">
      <c r="A274" s="6"/>
      <c r="B274" s="2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3.2" x14ac:dyDescent="0.25">
      <c r="A275" s="6"/>
      <c r="B275" s="2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3.2" x14ac:dyDescent="0.25">
      <c r="A276" s="6"/>
      <c r="B276" s="2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3.2" x14ac:dyDescent="0.25">
      <c r="A277" s="6"/>
      <c r="B277" s="2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3.2" x14ac:dyDescent="0.25">
      <c r="A278" s="6"/>
      <c r="B278" s="2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3.2" x14ac:dyDescent="0.25">
      <c r="A279" s="6"/>
      <c r="B279" s="2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3.2" x14ac:dyDescent="0.25">
      <c r="A280" s="6"/>
      <c r="B280" s="2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3.2" x14ac:dyDescent="0.25">
      <c r="A281" s="6"/>
      <c r="B281" s="2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3.2" x14ac:dyDescent="0.25">
      <c r="A282" s="6"/>
      <c r="B282" s="2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3.2" x14ac:dyDescent="0.25">
      <c r="A283" s="6"/>
      <c r="B283" s="2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3.2" x14ac:dyDescent="0.25">
      <c r="A284" s="6"/>
      <c r="B284" s="2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3.2" x14ac:dyDescent="0.25">
      <c r="A285" s="6"/>
      <c r="B285" s="2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3.2" x14ac:dyDescent="0.25">
      <c r="A286" s="6"/>
      <c r="B286" s="2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3.2" x14ac:dyDescent="0.25">
      <c r="A287" s="6"/>
      <c r="B287" s="2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3.2" x14ac:dyDescent="0.25">
      <c r="A288" s="6"/>
      <c r="B288" s="2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3.2" x14ac:dyDescent="0.25">
      <c r="A289" s="6"/>
      <c r="B289" s="2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3.2" x14ac:dyDescent="0.25">
      <c r="A290" s="6"/>
      <c r="B290" s="2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3.2" x14ac:dyDescent="0.25">
      <c r="A291" s="6"/>
      <c r="B291" s="2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3.2" x14ac:dyDescent="0.25">
      <c r="A292" s="6"/>
      <c r="B292" s="2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3.2" x14ac:dyDescent="0.25">
      <c r="A293" s="6"/>
      <c r="B293" s="2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3.2" x14ac:dyDescent="0.25">
      <c r="A294" s="6"/>
      <c r="B294" s="2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3.2" x14ac:dyDescent="0.25">
      <c r="A295" s="6"/>
      <c r="B295" s="2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3.2" x14ac:dyDescent="0.25">
      <c r="A296" s="6"/>
      <c r="B296" s="2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3.2" x14ac:dyDescent="0.25">
      <c r="A297" s="6"/>
      <c r="B297" s="2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3.2" x14ac:dyDescent="0.25">
      <c r="A298" s="6"/>
      <c r="B298" s="2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3.2" x14ac:dyDescent="0.25">
      <c r="A299" s="6"/>
      <c r="B299" s="2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3.2" x14ac:dyDescent="0.25">
      <c r="A300" s="6"/>
      <c r="B300" s="2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3.2" x14ac:dyDescent="0.25">
      <c r="A301" s="6"/>
      <c r="B301" s="2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3.2" x14ac:dyDescent="0.25">
      <c r="A302" s="6"/>
      <c r="B302" s="2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3.2" x14ac:dyDescent="0.25">
      <c r="A303" s="6"/>
      <c r="B303" s="2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3.2" x14ac:dyDescent="0.25">
      <c r="A304" s="6"/>
      <c r="B304" s="2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3.2" x14ac:dyDescent="0.25">
      <c r="A305" s="6"/>
      <c r="B305" s="2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3.2" x14ac:dyDescent="0.25">
      <c r="A306" s="6"/>
      <c r="B306" s="2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3.2" x14ac:dyDescent="0.25">
      <c r="A307" s="6"/>
      <c r="B307" s="2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3.2" x14ac:dyDescent="0.25">
      <c r="A308" s="6"/>
      <c r="B308" s="2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3.2" x14ac:dyDescent="0.25">
      <c r="A309" s="6"/>
      <c r="B309" s="2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3.2" x14ac:dyDescent="0.25">
      <c r="A310" s="6"/>
      <c r="B310" s="2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3.2" x14ac:dyDescent="0.25">
      <c r="A311" s="6"/>
      <c r="B311" s="2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3.2" x14ac:dyDescent="0.25">
      <c r="A312" s="6"/>
      <c r="B312" s="2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3.2" x14ac:dyDescent="0.25">
      <c r="A313" s="6"/>
      <c r="B313" s="2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3.2" x14ac:dyDescent="0.25">
      <c r="A314" s="6"/>
      <c r="B314" s="2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3.2" x14ac:dyDescent="0.25">
      <c r="A315" s="6"/>
      <c r="B315" s="2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3.2" x14ac:dyDescent="0.25">
      <c r="A316" s="6"/>
      <c r="B316" s="2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3.2" x14ac:dyDescent="0.25">
      <c r="A317" s="6"/>
      <c r="B317" s="2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3.2" x14ac:dyDescent="0.25">
      <c r="A318" s="6"/>
      <c r="B318" s="2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3.2" x14ac:dyDescent="0.25">
      <c r="A319" s="6"/>
      <c r="B319" s="2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3.2" x14ac:dyDescent="0.25">
      <c r="A320" s="6"/>
      <c r="B320" s="2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3.2" x14ac:dyDescent="0.25">
      <c r="A321" s="6"/>
      <c r="B321" s="2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3.2" x14ac:dyDescent="0.25">
      <c r="A322" s="6"/>
      <c r="B322" s="2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3.2" x14ac:dyDescent="0.25">
      <c r="A323" s="6"/>
      <c r="B323" s="2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3.2" x14ac:dyDescent="0.25">
      <c r="A324" s="6"/>
      <c r="B324" s="2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3.2" x14ac:dyDescent="0.25">
      <c r="A325" s="6"/>
      <c r="B325" s="2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3.2" x14ac:dyDescent="0.25">
      <c r="A326" s="6"/>
      <c r="B326" s="2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3.2" x14ac:dyDescent="0.25">
      <c r="A327" s="6"/>
      <c r="B327" s="2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3.2" x14ac:dyDescent="0.25">
      <c r="A328" s="6"/>
      <c r="B328" s="2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3.2" x14ac:dyDescent="0.25">
      <c r="A329" s="6"/>
      <c r="B329" s="2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3.2" x14ac:dyDescent="0.25">
      <c r="A330" s="6"/>
      <c r="B330" s="2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3.2" x14ac:dyDescent="0.25">
      <c r="A331" s="6"/>
      <c r="B331" s="2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3.2" x14ac:dyDescent="0.25">
      <c r="A332" s="6"/>
      <c r="B332" s="2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3.2" x14ac:dyDescent="0.25">
      <c r="A333" s="6"/>
      <c r="B333" s="2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3.2" x14ac:dyDescent="0.25">
      <c r="A334" s="6"/>
      <c r="B334" s="2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3.2" x14ac:dyDescent="0.25">
      <c r="A335" s="6"/>
      <c r="B335" s="2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3.2" x14ac:dyDescent="0.25">
      <c r="A336" s="6"/>
      <c r="B336" s="2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3.2" x14ac:dyDescent="0.25">
      <c r="A337" s="6"/>
      <c r="B337" s="2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3.2" x14ac:dyDescent="0.25">
      <c r="A338" s="6"/>
      <c r="B338" s="2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3.2" x14ac:dyDescent="0.25">
      <c r="A339" s="6"/>
      <c r="B339" s="2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3.2" x14ac:dyDescent="0.25">
      <c r="A340" s="6"/>
      <c r="B340" s="2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3.2" x14ac:dyDescent="0.25">
      <c r="A341" s="6"/>
      <c r="B341" s="2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3.2" x14ac:dyDescent="0.25">
      <c r="A342" s="6"/>
      <c r="B342" s="2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3.2" x14ac:dyDescent="0.25">
      <c r="A343" s="6"/>
      <c r="B343" s="2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3.2" x14ac:dyDescent="0.25">
      <c r="A344" s="6"/>
      <c r="B344" s="2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3.2" x14ac:dyDescent="0.25">
      <c r="A345" s="6"/>
      <c r="B345" s="2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3.2" x14ac:dyDescent="0.25">
      <c r="A346" s="6"/>
      <c r="B346" s="2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3.2" x14ac:dyDescent="0.25">
      <c r="A347" s="6"/>
      <c r="B347" s="2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3.2" x14ac:dyDescent="0.25">
      <c r="A348" s="6"/>
      <c r="B348" s="2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3.2" x14ac:dyDescent="0.25">
      <c r="A349" s="6"/>
      <c r="B349" s="2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3.2" x14ac:dyDescent="0.25">
      <c r="A350" s="6"/>
      <c r="B350" s="2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3.2" x14ac:dyDescent="0.25">
      <c r="A351" s="6"/>
      <c r="B351" s="2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3.2" x14ac:dyDescent="0.25">
      <c r="A352" s="6"/>
      <c r="B352" s="2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3.2" x14ac:dyDescent="0.25">
      <c r="A353" s="6"/>
      <c r="B353" s="2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3.2" x14ac:dyDescent="0.25">
      <c r="A354" s="6"/>
      <c r="B354" s="2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3.2" x14ac:dyDescent="0.25">
      <c r="A355" s="6"/>
      <c r="B355" s="2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3.2" x14ac:dyDescent="0.25">
      <c r="A356" s="6"/>
      <c r="B356" s="2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3.2" x14ac:dyDescent="0.25">
      <c r="A357" s="6"/>
      <c r="B357" s="2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3.2" x14ac:dyDescent="0.25">
      <c r="A358" s="6"/>
      <c r="B358" s="2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3.2" x14ac:dyDescent="0.25">
      <c r="A359" s="6"/>
      <c r="B359" s="2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3.2" x14ac:dyDescent="0.25">
      <c r="A360" s="6"/>
      <c r="B360" s="2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3.2" x14ac:dyDescent="0.25">
      <c r="A361" s="6"/>
      <c r="B361" s="2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3.2" x14ac:dyDescent="0.25">
      <c r="A362" s="6"/>
      <c r="B362" s="2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3.2" x14ac:dyDescent="0.25">
      <c r="A363" s="6"/>
      <c r="B363" s="2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3.2" x14ac:dyDescent="0.25">
      <c r="A364" s="6"/>
      <c r="B364" s="2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3.2" x14ac:dyDescent="0.25">
      <c r="A365" s="6"/>
      <c r="B365" s="2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3.2" x14ac:dyDescent="0.25">
      <c r="A366" s="6"/>
      <c r="B366" s="2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3.2" x14ac:dyDescent="0.25">
      <c r="A367" s="6"/>
      <c r="B367" s="2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3.2" x14ac:dyDescent="0.25">
      <c r="A368" s="6"/>
      <c r="B368" s="2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3.2" x14ac:dyDescent="0.25">
      <c r="A369" s="6"/>
      <c r="B369" s="2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3.2" x14ac:dyDescent="0.25">
      <c r="A370" s="6"/>
      <c r="B370" s="2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3.2" x14ac:dyDescent="0.25">
      <c r="A371" s="6"/>
      <c r="B371" s="2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3.2" x14ac:dyDescent="0.25">
      <c r="A372" s="6"/>
      <c r="B372" s="2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3.2" x14ac:dyDescent="0.25">
      <c r="A373" s="6"/>
      <c r="B373" s="2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3.2" x14ac:dyDescent="0.25">
      <c r="A374" s="6"/>
      <c r="B374" s="2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3.2" x14ac:dyDescent="0.25">
      <c r="A375" s="6"/>
      <c r="B375" s="2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3.2" x14ac:dyDescent="0.25">
      <c r="A376" s="6"/>
      <c r="B376" s="2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3.2" x14ac:dyDescent="0.25">
      <c r="A377" s="6"/>
      <c r="B377" s="2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3.2" x14ac:dyDescent="0.25">
      <c r="A378" s="6"/>
      <c r="B378" s="2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3.2" x14ac:dyDescent="0.25">
      <c r="A379" s="6"/>
      <c r="B379" s="2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3.2" x14ac:dyDescent="0.25">
      <c r="A380" s="6"/>
      <c r="B380" s="2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3.2" x14ac:dyDescent="0.25">
      <c r="A381" s="6"/>
      <c r="B381" s="2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3.2" x14ac:dyDescent="0.25">
      <c r="A382" s="6"/>
      <c r="B382" s="2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3.2" x14ac:dyDescent="0.25">
      <c r="A383" s="6"/>
      <c r="B383" s="2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3.2" x14ac:dyDescent="0.25">
      <c r="A384" s="6"/>
      <c r="B384" s="2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3.2" x14ac:dyDescent="0.25">
      <c r="A385" s="6"/>
      <c r="B385" s="2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3.2" x14ac:dyDescent="0.25">
      <c r="A386" s="6"/>
      <c r="B386" s="2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3.2" x14ac:dyDescent="0.25">
      <c r="A387" s="6"/>
      <c r="B387" s="2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3.2" x14ac:dyDescent="0.25">
      <c r="A388" s="6"/>
      <c r="B388" s="2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3.2" x14ac:dyDescent="0.25">
      <c r="A389" s="6"/>
      <c r="B389" s="2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3.2" x14ac:dyDescent="0.25">
      <c r="A390" s="6"/>
      <c r="B390" s="2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3.2" x14ac:dyDescent="0.25">
      <c r="A391" s="6"/>
      <c r="B391" s="2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3.2" x14ac:dyDescent="0.25">
      <c r="A392" s="6"/>
      <c r="B392" s="2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3.2" x14ac:dyDescent="0.25">
      <c r="A393" s="6"/>
      <c r="B393" s="2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3.2" x14ac:dyDescent="0.25">
      <c r="A394" s="6"/>
      <c r="B394" s="2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3.2" x14ac:dyDescent="0.25">
      <c r="A395" s="6"/>
      <c r="B395" s="2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3.2" x14ac:dyDescent="0.25">
      <c r="A396" s="6"/>
      <c r="B396" s="2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3.2" x14ac:dyDescent="0.25">
      <c r="A397" s="6"/>
      <c r="B397" s="2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3.2" x14ac:dyDescent="0.25">
      <c r="A398" s="6"/>
      <c r="B398" s="2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3.2" x14ac:dyDescent="0.25">
      <c r="A399" s="6"/>
      <c r="B399" s="2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3.2" x14ac:dyDescent="0.25">
      <c r="A400" s="6"/>
      <c r="B400" s="2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3.2" x14ac:dyDescent="0.25">
      <c r="A401" s="6"/>
      <c r="B401" s="2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3.2" x14ac:dyDescent="0.25">
      <c r="A402" s="6"/>
      <c r="B402" s="2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3.2" x14ac:dyDescent="0.25">
      <c r="A403" s="6"/>
      <c r="B403" s="2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3.2" x14ac:dyDescent="0.25">
      <c r="A404" s="6"/>
      <c r="B404" s="2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3.2" x14ac:dyDescent="0.25">
      <c r="A405" s="6"/>
      <c r="B405" s="2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3.2" x14ac:dyDescent="0.25">
      <c r="A406" s="6"/>
      <c r="B406" s="2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3.2" x14ac:dyDescent="0.25">
      <c r="A407" s="6"/>
      <c r="B407" s="2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3.2" x14ac:dyDescent="0.25">
      <c r="A408" s="6"/>
      <c r="B408" s="2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3.2" x14ac:dyDescent="0.25">
      <c r="A409" s="6"/>
      <c r="B409" s="2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3.2" x14ac:dyDescent="0.25">
      <c r="A410" s="6"/>
      <c r="B410" s="2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3.2" x14ac:dyDescent="0.25">
      <c r="A411" s="6"/>
      <c r="B411" s="2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3.2" x14ac:dyDescent="0.25">
      <c r="A412" s="6"/>
      <c r="B412" s="2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3.2" x14ac:dyDescent="0.25">
      <c r="A413" s="6"/>
      <c r="B413" s="2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3.2" x14ac:dyDescent="0.25">
      <c r="A414" s="6"/>
      <c r="B414" s="2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3.2" x14ac:dyDescent="0.25">
      <c r="A415" s="6"/>
      <c r="B415" s="2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3.2" x14ac:dyDescent="0.25">
      <c r="A416" s="6"/>
      <c r="B416" s="2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3.2" x14ac:dyDescent="0.25">
      <c r="A417" s="6"/>
      <c r="B417" s="2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3.2" x14ac:dyDescent="0.25">
      <c r="A418" s="6"/>
      <c r="B418" s="2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3.2" x14ac:dyDescent="0.25">
      <c r="A419" s="6"/>
      <c r="B419" s="2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3.2" x14ac:dyDescent="0.25">
      <c r="A420" s="6"/>
      <c r="B420" s="2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3.2" x14ac:dyDescent="0.25">
      <c r="A421" s="6"/>
      <c r="B421" s="2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3.2" x14ac:dyDescent="0.25">
      <c r="A422" s="6"/>
      <c r="B422" s="2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3.2" x14ac:dyDescent="0.25">
      <c r="A423" s="6"/>
      <c r="B423" s="2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3.2" x14ac:dyDescent="0.25">
      <c r="A424" s="6"/>
      <c r="B424" s="2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3.2" x14ac:dyDescent="0.25">
      <c r="A425" s="6"/>
      <c r="B425" s="2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3.2" x14ac:dyDescent="0.25">
      <c r="A426" s="6"/>
      <c r="B426" s="2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3.2" x14ac:dyDescent="0.25">
      <c r="A427" s="6"/>
      <c r="B427" s="2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3.2" x14ac:dyDescent="0.25">
      <c r="A428" s="6"/>
      <c r="B428" s="2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3.2" x14ac:dyDescent="0.25">
      <c r="A429" s="6"/>
      <c r="B429" s="2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3.2" x14ac:dyDescent="0.25">
      <c r="A430" s="6"/>
      <c r="B430" s="2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3.2" x14ac:dyDescent="0.25">
      <c r="A431" s="6"/>
      <c r="B431" s="2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3.2" x14ac:dyDescent="0.25">
      <c r="A432" s="6"/>
      <c r="B432" s="2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3.2" x14ac:dyDescent="0.25">
      <c r="A433" s="6"/>
      <c r="B433" s="2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3.2" x14ac:dyDescent="0.25">
      <c r="A434" s="6"/>
      <c r="B434" s="2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3.2" x14ac:dyDescent="0.25">
      <c r="A435" s="6"/>
      <c r="B435" s="2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3.2" x14ac:dyDescent="0.25">
      <c r="A436" s="6"/>
      <c r="B436" s="2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3.2" x14ac:dyDescent="0.25">
      <c r="A437" s="6"/>
      <c r="B437" s="2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3.2" x14ac:dyDescent="0.25">
      <c r="A438" s="6"/>
      <c r="B438" s="2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3.2" x14ac:dyDescent="0.25">
      <c r="A439" s="6"/>
      <c r="B439" s="2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3.2" x14ac:dyDescent="0.25">
      <c r="A440" s="6"/>
      <c r="B440" s="2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3.2" x14ac:dyDescent="0.25">
      <c r="A441" s="6"/>
      <c r="B441" s="2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3.2" x14ac:dyDescent="0.25">
      <c r="A442" s="6"/>
      <c r="B442" s="2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3.2" x14ac:dyDescent="0.25">
      <c r="A443" s="6"/>
      <c r="B443" s="2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3.2" x14ac:dyDescent="0.25">
      <c r="A444" s="6"/>
      <c r="B444" s="2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3.2" x14ac:dyDescent="0.25">
      <c r="A445" s="6"/>
      <c r="B445" s="2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3.2" x14ac:dyDescent="0.25">
      <c r="A446" s="6"/>
      <c r="B446" s="2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3.2" x14ac:dyDescent="0.25">
      <c r="A447" s="6"/>
      <c r="B447" s="2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3.2" x14ac:dyDescent="0.25">
      <c r="A448" s="6"/>
      <c r="B448" s="2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3.2" x14ac:dyDescent="0.25">
      <c r="A449" s="6"/>
      <c r="B449" s="2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3.2" x14ac:dyDescent="0.25">
      <c r="A450" s="6"/>
      <c r="B450" s="2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3.2" x14ac:dyDescent="0.25">
      <c r="A451" s="6"/>
      <c r="B451" s="2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3.2" x14ac:dyDescent="0.25">
      <c r="A452" s="6"/>
      <c r="B452" s="2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3.2" x14ac:dyDescent="0.25">
      <c r="A453" s="6"/>
      <c r="B453" s="2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3.2" x14ac:dyDescent="0.25">
      <c r="A454" s="6"/>
      <c r="B454" s="2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3.2" x14ac:dyDescent="0.25">
      <c r="A455" s="6"/>
      <c r="B455" s="2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3.2" x14ac:dyDescent="0.25">
      <c r="A456" s="6"/>
      <c r="B456" s="2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3.2" x14ac:dyDescent="0.25">
      <c r="A457" s="6"/>
      <c r="B457" s="2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3.2" x14ac:dyDescent="0.25">
      <c r="A458" s="6"/>
      <c r="B458" s="2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3.2" x14ac:dyDescent="0.25">
      <c r="A459" s="6"/>
      <c r="B459" s="2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3.2" x14ac:dyDescent="0.25">
      <c r="A460" s="6"/>
      <c r="B460" s="2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3.2" x14ac:dyDescent="0.25">
      <c r="A461" s="6"/>
      <c r="B461" s="2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3.2" x14ac:dyDescent="0.25">
      <c r="A462" s="6"/>
      <c r="B462" s="2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3.2" x14ac:dyDescent="0.25">
      <c r="A463" s="6"/>
      <c r="B463" s="2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3.2" x14ac:dyDescent="0.25">
      <c r="A464" s="6"/>
      <c r="B464" s="2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3.2" x14ac:dyDescent="0.25">
      <c r="A465" s="6"/>
      <c r="B465" s="2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3.2" x14ac:dyDescent="0.25">
      <c r="A466" s="6"/>
      <c r="B466" s="2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3.2" x14ac:dyDescent="0.25">
      <c r="A467" s="6"/>
      <c r="B467" s="2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3.2" x14ac:dyDescent="0.25">
      <c r="A468" s="6"/>
      <c r="B468" s="2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3.2" x14ac:dyDescent="0.25">
      <c r="A469" s="6"/>
      <c r="B469" s="2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3.2" x14ac:dyDescent="0.25">
      <c r="A470" s="6"/>
      <c r="B470" s="2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3.2" x14ac:dyDescent="0.25">
      <c r="A471" s="6"/>
      <c r="B471" s="2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3.2" x14ac:dyDescent="0.25">
      <c r="A472" s="6"/>
      <c r="B472" s="2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3.2" x14ac:dyDescent="0.25">
      <c r="A473" s="6"/>
      <c r="B473" s="2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3.2" x14ac:dyDescent="0.25">
      <c r="A474" s="6"/>
      <c r="B474" s="2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3.2" x14ac:dyDescent="0.25">
      <c r="A475" s="6"/>
      <c r="B475" s="2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3.2" x14ac:dyDescent="0.25">
      <c r="A476" s="6"/>
      <c r="B476" s="2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3.2" x14ac:dyDescent="0.25">
      <c r="A477" s="6"/>
      <c r="B477" s="2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3.2" x14ac:dyDescent="0.25">
      <c r="A478" s="6"/>
      <c r="B478" s="2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3.2" x14ac:dyDescent="0.25">
      <c r="A479" s="6"/>
      <c r="B479" s="2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3.2" x14ac:dyDescent="0.25">
      <c r="A480" s="6"/>
      <c r="B480" s="2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3.2" x14ac:dyDescent="0.25">
      <c r="A481" s="6"/>
      <c r="B481" s="2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3.2" x14ac:dyDescent="0.25">
      <c r="A482" s="6"/>
      <c r="B482" s="2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3.2" x14ac:dyDescent="0.25">
      <c r="A483" s="6"/>
      <c r="B483" s="2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3.2" x14ac:dyDescent="0.25">
      <c r="A484" s="6"/>
      <c r="B484" s="2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3.2" x14ac:dyDescent="0.25">
      <c r="A485" s="6"/>
      <c r="B485" s="2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3.2" x14ac:dyDescent="0.25">
      <c r="A486" s="6"/>
      <c r="B486" s="2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3.2" x14ac:dyDescent="0.25">
      <c r="A487" s="6"/>
      <c r="B487" s="2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3.2" x14ac:dyDescent="0.25">
      <c r="A488" s="6"/>
      <c r="B488" s="2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3.2" x14ac:dyDescent="0.25">
      <c r="A489" s="6"/>
      <c r="B489" s="2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3.2" x14ac:dyDescent="0.25">
      <c r="A490" s="6"/>
      <c r="B490" s="2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3.2" x14ac:dyDescent="0.25">
      <c r="A491" s="6"/>
      <c r="B491" s="2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3.2" x14ac:dyDescent="0.25">
      <c r="A492" s="6"/>
      <c r="B492" s="2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3.2" x14ac:dyDescent="0.25">
      <c r="A493" s="6"/>
      <c r="B493" s="2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3.2" x14ac:dyDescent="0.25">
      <c r="A494" s="6"/>
      <c r="B494" s="2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3.2" x14ac:dyDescent="0.25">
      <c r="A495" s="6"/>
      <c r="B495" s="2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3.2" x14ac:dyDescent="0.25">
      <c r="A496" s="6"/>
      <c r="B496" s="2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3.2" x14ac:dyDescent="0.25">
      <c r="A497" s="6"/>
      <c r="B497" s="2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3.2" x14ac:dyDescent="0.25">
      <c r="A498" s="6"/>
      <c r="B498" s="2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3.2" x14ac:dyDescent="0.25">
      <c r="A499" s="6"/>
      <c r="B499" s="2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3.2" x14ac:dyDescent="0.25">
      <c r="A500" s="6"/>
      <c r="B500" s="2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3.2" x14ac:dyDescent="0.25">
      <c r="A501" s="6"/>
      <c r="B501" s="2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3.2" x14ac:dyDescent="0.25">
      <c r="A502" s="6"/>
      <c r="B502" s="2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3.2" x14ac:dyDescent="0.25">
      <c r="A503" s="6"/>
      <c r="B503" s="2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3.2" x14ac:dyDescent="0.25">
      <c r="A504" s="6"/>
      <c r="B504" s="2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3.2" x14ac:dyDescent="0.25">
      <c r="A505" s="6"/>
      <c r="B505" s="2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3.2" x14ac:dyDescent="0.25">
      <c r="A506" s="6"/>
      <c r="B506" s="2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3.2" x14ac:dyDescent="0.25">
      <c r="A507" s="6"/>
      <c r="B507" s="2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3.2" x14ac:dyDescent="0.25">
      <c r="A508" s="6"/>
      <c r="B508" s="2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3.2" x14ac:dyDescent="0.25">
      <c r="A509" s="6"/>
      <c r="B509" s="2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3.2" x14ac:dyDescent="0.25">
      <c r="A510" s="6"/>
      <c r="B510" s="2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3.2" x14ac:dyDescent="0.25">
      <c r="A511" s="6"/>
      <c r="B511" s="2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3.2" x14ac:dyDescent="0.25">
      <c r="A512" s="6"/>
      <c r="B512" s="2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3.2" x14ac:dyDescent="0.25">
      <c r="A513" s="6"/>
      <c r="B513" s="2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3.2" x14ac:dyDescent="0.25">
      <c r="A514" s="6"/>
      <c r="B514" s="2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3.2" x14ac:dyDescent="0.25">
      <c r="A515" s="6"/>
      <c r="B515" s="2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3.2" x14ac:dyDescent="0.25">
      <c r="A516" s="6"/>
      <c r="B516" s="2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3.2" x14ac:dyDescent="0.25">
      <c r="A517" s="6"/>
      <c r="B517" s="2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3.2" x14ac:dyDescent="0.25">
      <c r="A518" s="6"/>
      <c r="B518" s="2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3.2" x14ac:dyDescent="0.25">
      <c r="A519" s="6"/>
      <c r="B519" s="2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3.2" x14ac:dyDescent="0.25">
      <c r="A520" s="6"/>
      <c r="B520" s="2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3.2" x14ac:dyDescent="0.25">
      <c r="A521" s="6"/>
      <c r="B521" s="2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3.2" x14ac:dyDescent="0.25">
      <c r="A522" s="6"/>
      <c r="B522" s="2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3.2" x14ac:dyDescent="0.25">
      <c r="A523" s="6"/>
      <c r="B523" s="2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3.2" x14ac:dyDescent="0.25">
      <c r="A524" s="6"/>
      <c r="B524" s="2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3.2" x14ac:dyDescent="0.25">
      <c r="A525" s="6"/>
      <c r="B525" s="2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3.2" x14ac:dyDescent="0.25">
      <c r="A526" s="6"/>
      <c r="B526" s="2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3.2" x14ac:dyDescent="0.25">
      <c r="A527" s="6"/>
      <c r="B527" s="2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3.2" x14ac:dyDescent="0.25">
      <c r="A528" s="6"/>
      <c r="B528" s="2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3.2" x14ac:dyDescent="0.25">
      <c r="A529" s="6"/>
      <c r="B529" s="2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3.2" x14ac:dyDescent="0.25">
      <c r="A530" s="6"/>
      <c r="B530" s="2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3.2" x14ac:dyDescent="0.25">
      <c r="A531" s="6"/>
      <c r="B531" s="2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3.2" x14ac:dyDescent="0.25">
      <c r="A532" s="6"/>
      <c r="B532" s="2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3.2" x14ac:dyDescent="0.25">
      <c r="A533" s="6"/>
      <c r="B533" s="2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3.2" x14ac:dyDescent="0.25">
      <c r="A534" s="6"/>
      <c r="B534" s="2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3.2" x14ac:dyDescent="0.25">
      <c r="A535" s="6"/>
      <c r="B535" s="2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3.2" x14ac:dyDescent="0.25">
      <c r="A536" s="6"/>
      <c r="B536" s="2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3.2" x14ac:dyDescent="0.25">
      <c r="A537" s="6"/>
      <c r="B537" s="2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3.2" x14ac:dyDescent="0.25">
      <c r="A538" s="6"/>
      <c r="B538" s="2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3.2" x14ac:dyDescent="0.25">
      <c r="A539" s="6"/>
      <c r="B539" s="2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3.2" x14ac:dyDescent="0.25">
      <c r="A540" s="6"/>
      <c r="B540" s="2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3.2" x14ac:dyDescent="0.25">
      <c r="A541" s="6"/>
      <c r="B541" s="2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3.2" x14ac:dyDescent="0.25">
      <c r="A542" s="6"/>
      <c r="B542" s="2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3.2" x14ac:dyDescent="0.25">
      <c r="A543" s="6"/>
      <c r="B543" s="2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3.2" x14ac:dyDescent="0.25">
      <c r="A544" s="6"/>
      <c r="B544" s="2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3.2" x14ac:dyDescent="0.25">
      <c r="A545" s="6"/>
      <c r="B545" s="2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3.2" x14ac:dyDescent="0.25">
      <c r="A546" s="6"/>
      <c r="B546" s="2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3.2" x14ac:dyDescent="0.25">
      <c r="A547" s="6"/>
      <c r="B547" s="2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3.2" x14ac:dyDescent="0.25">
      <c r="A548" s="6"/>
      <c r="B548" s="2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3.2" x14ac:dyDescent="0.25">
      <c r="A549" s="6"/>
      <c r="B549" s="2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3.2" x14ac:dyDescent="0.25">
      <c r="A550" s="6"/>
      <c r="B550" s="2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3.2" x14ac:dyDescent="0.25">
      <c r="A551" s="6"/>
      <c r="B551" s="2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3.2" x14ac:dyDescent="0.25">
      <c r="A552" s="6"/>
      <c r="B552" s="2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3.2" x14ac:dyDescent="0.25">
      <c r="A553" s="6"/>
      <c r="B553" s="2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3.2" x14ac:dyDescent="0.25">
      <c r="A554" s="6"/>
      <c r="B554" s="2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3.2" x14ac:dyDescent="0.25">
      <c r="A555" s="6"/>
      <c r="B555" s="2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3.2" x14ac:dyDescent="0.25">
      <c r="A556" s="6"/>
      <c r="B556" s="2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3.2" x14ac:dyDescent="0.25">
      <c r="A557" s="6"/>
      <c r="B557" s="2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3.2" x14ac:dyDescent="0.25">
      <c r="A558" s="6"/>
      <c r="B558" s="2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3.2" x14ac:dyDescent="0.25">
      <c r="A559" s="6"/>
      <c r="B559" s="2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3.2" x14ac:dyDescent="0.25">
      <c r="A560" s="6"/>
      <c r="B560" s="2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3.2" x14ac:dyDescent="0.25">
      <c r="A561" s="6"/>
      <c r="B561" s="2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3.2" x14ac:dyDescent="0.25">
      <c r="A562" s="6"/>
      <c r="B562" s="2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3.2" x14ac:dyDescent="0.25">
      <c r="A563" s="6"/>
      <c r="B563" s="2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3.2" x14ac:dyDescent="0.25">
      <c r="A564" s="6"/>
      <c r="B564" s="2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3.2" x14ac:dyDescent="0.25">
      <c r="A565" s="6"/>
      <c r="B565" s="2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3.2" x14ac:dyDescent="0.25">
      <c r="A566" s="6"/>
      <c r="B566" s="2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3.2" x14ac:dyDescent="0.25">
      <c r="A567" s="6"/>
      <c r="B567" s="2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3.2" x14ac:dyDescent="0.25">
      <c r="A568" s="6"/>
      <c r="B568" s="2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3.2" x14ac:dyDescent="0.25">
      <c r="A569" s="6"/>
      <c r="B569" s="2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3.2" x14ac:dyDescent="0.25">
      <c r="A570" s="6"/>
      <c r="B570" s="2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3.2" x14ac:dyDescent="0.25">
      <c r="A571" s="6"/>
      <c r="B571" s="2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3.2" x14ac:dyDescent="0.25">
      <c r="A572" s="6"/>
      <c r="B572" s="2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3.2" x14ac:dyDescent="0.25">
      <c r="A573" s="6"/>
      <c r="B573" s="2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3.2" x14ac:dyDescent="0.25">
      <c r="A574" s="6"/>
      <c r="B574" s="2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3.2" x14ac:dyDescent="0.25">
      <c r="A575" s="6"/>
      <c r="B575" s="2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3.2" x14ac:dyDescent="0.25">
      <c r="A576" s="6"/>
      <c r="B576" s="2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3.2" x14ac:dyDescent="0.25">
      <c r="A577" s="6"/>
      <c r="B577" s="2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3.2" x14ac:dyDescent="0.25">
      <c r="A578" s="6"/>
      <c r="B578" s="2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3.2" x14ac:dyDescent="0.25">
      <c r="A579" s="6"/>
      <c r="B579" s="2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3.2" x14ac:dyDescent="0.25">
      <c r="A580" s="6"/>
      <c r="B580" s="2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3.2" x14ac:dyDescent="0.25">
      <c r="A581" s="6"/>
      <c r="B581" s="2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3.2" x14ac:dyDescent="0.25">
      <c r="A582" s="6"/>
      <c r="B582" s="2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3.2" x14ac:dyDescent="0.25">
      <c r="A583" s="6"/>
      <c r="B583" s="2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3.2" x14ac:dyDescent="0.25">
      <c r="A584" s="6"/>
      <c r="B584" s="2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3.2" x14ac:dyDescent="0.25">
      <c r="A585" s="6"/>
      <c r="B585" s="2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3.2" x14ac:dyDescent="0.25">
      <c r="A586" s="6"/>
      <c r="B586" s="2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3.2" x14ac:dyDescent="0.25">
      <c r="A587" s="6"/>
      <c r="B587" s="2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3.2" x14ac:dyDescent="0.25">
      <c r="A588" s="6"/>
      <c r="B588" s="2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3.2" x14ac:dyDescent="0.25">
      <c r="A589" s="6"/>
      <c r="B589" s="2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3.2" x14ac:dyDescent="0.25">
      <c r="A590" s="6"/>
      <c r="B590" s="2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3.2" x14ac:dyDescent="0.25">
      <c r="A591" s="6"/>
      <c r="B591" s="2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3.2" x14ac:dyDescent="0.25">
      <c r="A592" s="6"/>
      <c r="B592" s="2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3.2" x14ac:dyDescent="0.25">
      <c r="A593" s="6"/>
      <c r="B593" s="2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3.2" x14ac:dyDescent="0.25">
      <c r="A594" s="6"/>
      <c r="B594" s="2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3.2" x14ac:dyDescent="0.25">
      <c r="A595" s="6"/>
      <c r="B595" s="2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3.2" x14ac:dyDescent="0.25">
      <c r="A596" s="6"/>
      <c r="B596" s="2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3.2" x14ac:dyDescent="0.25">
      <c r="A597" s="6"/>
      <c r="B597" s="2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3.2" x14ac:dyDescent="0.25">
      <c r="A598" s="6"/>
      <c r="B598" s="2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3.2" x14ac:dyDescent="0.25">
      <c r="A599" s="6"/>
      <c r="B599" s="2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3.2" x14ac:dyDescent="0.25">
      <c r="A600" s="6"/>
      <c r="B600" s="2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3.2" x14ac:dyDescent="0.25">
      <c r="A601" s="6"/>
      <c r="B601" s="2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3.2" x14ac:dyDescent="0.25">
      <c r="A602" s="6"/>
      <c r="B602" s="2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3.2" x14ac:dyDescent="0.25">
      <c r="A603" s="6"/>
      <c r="B603" s="2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3.2" x14ac:dyDescent="0.25">
      <c r="A604" s="6"/>
      <c r="B604" s="2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3.2" x14ac:dyDescent="0.25">
      <c r="A605" s="6"/>
      <c r="B605" s="2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3.2" x14ac:dyDescent="0.25">
      <c r="A606" s="6"/>
      <c r="B606" s="2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3.2" x14ac:dyDescent="0.25">
      <c r="A607" s="6"/>
      <c r="B607" s="2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3.2" x14ac:dyDescent="0.25">
      <c r="A608" s="6"/>
      <c r="B608" s="2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3.2" x14ac:dyDescent="0.25">
      <c r="A609" s="6"/>
      <c r="B609" s="2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3.2" x14ac:dyDescent="0.25">
      <c r="A610" s="6"/>
      <c r="B610" s="2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3.2" x14ac:dyDescent="0.25">
      <c r="A611" s="6"/>
      <c r="B611" s="2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3.2" x14ac:dyDescent="0.25">
      <c r="A612" s="6"/>
      <c r="B612" s="2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3.2" x14ac:dyDescent="0.25">
      <c r="A613" s="6"/>
      <c r="B613" s="2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3.2" x14ac:dyDescent="0.25">
      <c r="A614" s="6"/>
      <c r="B614" s="2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3.2" x14ac:dyDescent="0.25">
      <c r="A615" s="6"/>
      <c r="B615" s="2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3.2" x14ac:dyDescent="0.25">
      <c r="A616" s="6"/>
      <c r="B616" s="2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3.2" x14ac:dyDescent="0.25">
      <c r="A617" s="6"/>
      <c r="B617" s="2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3.2" x14ac:dyDescent="0.25">
      <c r="A618" s="6"/>
      <c r="B618" s="2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3.2" x14ac:dyDescent="0.25">
      <c r="A619" s="6"/>
      <c r="B619" s="2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3.2" x14ac:dyDescent="0.25">
      <c r="A620" s="6"/>
      <c r="B620" s="2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3.2" x14ac:dyDescent="0.25">
      <c r="A621" s="6"/>
      <c r="B621" s="2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3.2" x14ac:dyDescent="0.25">
      <c r="A622" s="6"/>
      <c r="B622" s="2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3.2" x14ac:dyDescent="0.25">
      <c r="A623" s="6"/>
      <c r="B623" s="2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3.2" x14ac:dyDescent="0.25">
      <c r="A624" s="6"/>
      <c r="B624" s="2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3.2" x14ac:dyDescent="0.25">
      <c r="A625" s="6"/>
      <c r="B625" s="2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3.2" x14ac:dyDescent="0.25">
      <c r="A626" s="6"/>
      <c r="B626" s="2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3.2" x14ac:dyDescent="0.25">
      <c r="A627" s="6"/>
      <c r="B627" s="2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3.2" x14ac:dyDescent="0.25">
      <c r="A628" s="6"/>
      <c r="B628" s="2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3.2" x14ac:dyDescent="0.25">
      <c r="A629" s="6"/>
      <c r="B629" s="2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3.2" x14ac:dyDescent="0.25">
      <c r="A630" s="6"/>
      <c r="B630" s="2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3.2" x14ac:dyDescent="0.25">
      <c r="A631" s="6"/>
      <c r="B631" s="2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3.2" x14ac:dyDescent="0.25">
      <c r="A632" s="6"/>
      <c r="B632" s="2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3.2" x14ac:dyDescent="0.25">
      <c r="A633" s="6"/>
      <c r="B633" s="2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3.2" x14ac:dyDescent="0.25">
      <c r="A634" s="6"/>
      <c r="B634" s="2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3.2" x14ac:dyDescent="0.25">
      <c r="A635" s="6"/>
      <c r="B635" s="2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3.2" x14ac:dyDescent="0.25">
      <c r="A636" s="6"/>
      <c r="B636" s="2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3.2" x14ac:dyDescent="0.25">
      <c r="A637" s="6"/>
      <c r="B637" s="2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3.2" x14ac:dyDescent="0.25">
      <c r="A638" s="6"/>
      <c r="B638" s="2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3.2" x14ac:dyDescent="0.25">
      <c r="A639" s="6"/>
      <c r="B639" s="2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3.2" x14ac:dyDescent="0.25">
      <c r="A640" s="6"/>
      <c r="B640" s="2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3.2" x14ac:dyDescent="0.25">
      <c r="A641" s="6"/>
      <c r="B641" s="2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3.2" x14ac:dyDescent="0.25">
      <c r="A642" s="6"/>
      <c r="B642" s="2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3.2" x14ac:dyDescent="0.25">
      <c r="A643" s="6"/>
      <c r="B643" s="2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3.2" x14ac:dyDescent="0.25">
      <c r="A644" s="6"/>
      <c r="B644" s="2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3.2" x14ac:dyDescent="0.25">
      <c r="A645" s="6"/>
      <c r="B645" s="2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3.2" x14ac:dyDescent="0.25">
      <c r="A646" s="6"/>
      <c r="B646" s="2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3.2" x14ac:dyDescent="0.25">
      <c r="A647" s="6"/>
      <c r="B647" s="2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3.2" x14ac:dyDescent="0.25">
      <c r="A648" s="6"/>
      <c r="B648" s="2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3.2" x14ac:dyDescent="0.25">
      <c r="A649" s="6"/>
      <c r="B649" s="2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3.2" x14ac:dyDescent="0.25">
      <c r="A650" s="6"/>
      <c r="B650" s="2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3.2" x14ac:dyDescent="0.25">
      <c r="A651" s="6"/>
      <c r="B651" s="2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3.2" x14ac:dyDescent="0.25">
      <c r="A652" s="6"/>
      <c r="B652" s="2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3.2" x14ac:dyDescent="0.25">
      <c r="A653" s="6"/>
      <c r="B653" s="2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3.2" x14ac:dyDescent="0.25">
      <c r="A654" s="6"/>
      <c r="B654" s="2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3.2" x14ac:dyDescent="0.25">
      <c r="A655" s="6"/>
      <c r="B655" s="2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3.2" x14ac:dyDescent="0.25">
      <c r="A656" s="6"/>
      <c r="B656" s="2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3.2" x14ac:dyDescent="0.25">
      <c r="A657" s="6"/>
      <c r="B657" s="2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3.2" x14ac:dyDescent="0.25">
      <c r="A658" s="6"/>
      <c r="B658" s="2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3.2" x14ac:dyDescent="0.25">
      <c r="A659" s="6"/>
      <c r="B659" s="2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3.2" x14ac:dyDescent="0.25">
      <c r="A660" s="6"/>
      <c r="B660" s="2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3.2" x14ac:dyDescent="0.25">
      <c r="A661" s="6"/>
      <c r="B661" s="2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3.2" x14ac:dyDescent="0.25">
      <c r="A662" s="6"/>
      <c r="B662" s="2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3.2" x14ac:dyDescent="0.25">
      <c r="A663" s="6"/>
      <c r="B663" s="2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3.2" x14ac:dyDescent="0.25">
      <c r="A664" s="6"/>
      <c r="B664" s="2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3.2" x14ac:dyDescent="0.25">
      <c r="A665" s="6"/>
      <c r="B665" s="2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3.2" x14ac:dyDescent="0.25">
      <c r="A666" s="6"/>
      <c r="B666" s="2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3.2" x14ac:dyDescent="0.25">
      <c r="A667" s="6"/>
      <c r="B667" s="2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3.2" x14ac:dyDescent="0.25">
      <c r="A668" s="6"/>
      <c r="B668" s="2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3.2" x14ac:dyDescent="0.25">
      <c r="A669" s="6"/>
      <c r="B669" s="2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3.2" x14ac:dyDescent="0.25">
      <c r="A670" s="6"/>
      <c r="B670" s="2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3.2" x14ac:dyDescent="0.25">
      <c r="A671" s="6"/>
      <c r="B671" s="2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3.2" x14ac:dyDescent="0.25">
      <c r="A672" s="6"/>
      <c r="B672" s="2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3.2" x14ac:dyDescent="0.25">
      <c r="A673" s="6"/>
      <c r="B673" s="2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3.2" x14ac:dyDescent="0.25">
      <c r="A674" s="6"/>
      <c r="B674" s="2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3.2" x14ac:dyDescent="0.25">
      <c r="A675" s="6"/>
      <c r="B675" s="2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3.2" x14ac:dyDescent="0.25">
      <c r="A676" s="6"/>
      <c r="B676" s="2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3.2" x14ac:dyDescent="0.25">
      <c r="A677" s="6"/>
      <c r="B677" s="2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3.2" x14ac:dyDescent="0.25">
      <c r="A678" s="6"/>
      <c r="B678" s="2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3.2" x14ac:dyDescent="0.25">
      <c r="A679" s="6"/>
      <c r="B679" s="2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3.2" x14ac:dyDescent="0.25">
      <c r="A680" s="6"/>
      <c r="B680" s="2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3.2" x14ac:dyDescent="0.25">
      <c r="A681" s="6"/>
      <c r="B681" s="2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3.2" x14ac:dyDescent="0.25">
      <c r="A682" s="6"/>
      <c r="B682" s="2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3.2" x14ac:dyDescent="0.25">
      <c r="A683" s="6"/>
      <c r="B683" s="2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3.2" x14ac:dyDescent="0.25">
      <c r="A684" s="6"/>
      <c r="B684" s="2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3.2" x14ac:dyDescent="0.25">
      <c r="A685" s="6"/>
      <c r="B685" s="2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3.2" x14ac:dyDescent="0.25">
      <c r="A686" s="6"/>
      <c r="B686" s="2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3.2" x14ac:dyDescent="0.25">
      <c r="A687" s="6"/>
      <c r="B687" s="2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3.2" x14ac:dyDescent="0.25">
      <c r="A688" s="6"/>
      <c r="B688" s="2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3.2" x14ac:dyDescent="0.25">
      <c r="A689" s="6"/>
      <c r="B689" s="2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3.2" x14ac:dyDescent="0.25">
      <c r="A690" s="6"/>
      <c r="B690" s="2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3.2" x14ac:dyDescent="0.25">
      <c r="A691" s="6"/>
      <c r="B691" s="2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3.2" x14ac:dyDescent="0.25">
      <c r="A692" s="6"/>
      <c r="B692" s="2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3.2" x14ac:dyDescent="0.25">
      <c r="A693" s="6"/>
      <c r="B693" s="2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3.2" x14ac:dyDescent="0.25">
      <c r="A694" s="6"/>
      <c r="B694" s="2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3.2" x14ac:dyDescent="0.25">
      <c r="A695" s="6"/>
      <c r="B695" s="2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3.2" x14ac:dyDescent="0.25">
      <c r="A696" s="6"/>
      <c r="B696" s="2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3.2" x14ac:dyDescent="0.25">
      <c r="A697" s="6"/>
      <c r="B697" s="2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3.2" x14ac:dyDescent="0.25">
      <c r="A698" s="6"/>
      <c r="B698" s="2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3.2" x14ac:dyDescent="0.25">
      <c r="A699" s="6"/>
      <c r="B699" s="2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3.2" x14ac:dyDescent="0.25">
      <c r="A700" s="6"/>
      <c r="B700" s="2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3.2" x14ac:dyDescent="0.25">
      <c r="A701" s="6"/>
      <c r="B701" s="2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3.2" x14ac:dyDescent="0.25">
      <c r="A702" s="6"/>
      <c r="B702" s="2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3.2" x14ac:dyDescent="0.25">
      <c r="A703" s="6"/>
      <c r="B703" s="2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3.2" x14ac:dyDescent="0.25">
      <c r="A704" s="6"/>
      <c r="B704" s="2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3.2" x14ac:dyDescent="0.25">
      <c r="A705" s="6"/>
      <c r="B705" s="2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3.2" x14ac:dyDescent="0.25">
      <c r="A706" s="6"/>
      <c r="B706" s="2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3.2" x14ac:dyDescent="0.25">
      <c r="A707" s="6"/>
      <c r="B707" s="2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3.2" x14ac:dyDescent="0.25">
      <c r="A708" s="6"/>
      <c r="B708" s="2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3.2" x14ac:dyDescent="0.25">
      <c r="A709" s="6"/>
      <c r="B709" s="2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3.2" x14ac:dyDescent="0.25">
      <c r="A710" s="6"/>
      <c r="B710" s="2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3.2" x14ac:dyDescent="0.25">
      <c r="A711" s="6"/>
      <c r="B711" s="2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3.2" x14ac:dyDescent="0.25">
      <c r="A712" s="6"/>
      <c r="B712" s="2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3.2" x14ac:dyDescent="0.25">
      <c r="A713" s="6"/>
      <c r="B713" s="2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3.2" x14ac:dyDescent="0.25">
      <c r="A714" s="6"/>
      <c r="B714" s="2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3.2" x14ac:dyDescent="0.25">
      <c r="A715" s="6"/>
      <c r="B715" s="2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3.2" x14ac:dyDescent="0.25">
      <c r="A716" s="6"/>
      <c r="B716" s="2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3.2" x14ac:dyDescent="0.25">
      <c r="A717" s="6"/>
      <c r="B717" s="2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3.2" x14ac:dyDescent="0.25">
      <c r="A718" s="6"/>
      <c r="B718" s="2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3.2" x14ac:dyDescent="0.25">
      <c r="A719" s="6"/>
      <c r="B719" s="2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3.2" x14ac:dyDescent="0.25">
      <c r="A720" s="6"/>
      <c r="B720" s="2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3.2" x14ac:dyDescent="0.25">
      <c r="A721" s="6"/>
      <c r="B721" s="2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3.2" x14ac:dyDescent="0.25">
      <c r="A722" s="6"/>
      <c r="B722" s="2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3.2" x14ac:dyDescent="0.25">
      <c r="A723" s="6"/>
      <c r="B723" s="2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3.2" x14ac:dyDescent="0.25">
      <c r="A724" s="6"/>
      <c r="B724" s="2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3.2" x14ac:dyDescent="0.25">
      <c r="A725" s="6"/>
      <c r="B725" s="2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3.2" x14ac:dyDescent="0.25">
      <c r="A726" s="6"/>
      <c r="B726" s="2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3.2" x14ac:dyDescent="0.25">
      <c r="A727" s="6"/>
      <c r="B727" s="2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3.2" x14ac:dyDescent="0.25">
      <c r="A728" s="6"/>
      <c r="B728" s="2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3.2" x14ac:dyDescent="0.25">
      <c r="A729" s="6"/>
      <c r="B729" s="2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3.2" x14ac:dyDescent="0.25">
      <c r="A730" s="6"/>
      <c r="B730" s="2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3.2" x14ac:dyDescent="0.25">
      <c r="A731" s="6"/>
      <c r="B731" s="2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3.2" x14ac:dyDescent="0.25">
      <c r="A732" s="6"/>
      <c r="B732" s="2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3.2" x14ac:dyDescent="0.25">
      <c r="A733" s="6"/>
      <c r="B733" s="2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3.2" x14ac:dyDescent="0.25">
      <c r="A734" s="6"/>
      <c r="B734" s="2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3.2" x14ac:dyDescent="0.25">
      <c r="A735" s="6"/>
      <c r="B735" s="2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3.2" x14ac:dyDescent="0.25">
      <c r="A736" s="6"/>
      <c r="B736" s="2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3.2" x14ac:dyDescent="0.25">
      <c r="A737" s="6"/>
      <c r="B737" s="2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3.2" x14ac:dyDescent="0.25">
      <c r="A738" s="6"/>
      <c r="B738" s="2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3.2" x14ac:dyDescent="0.25">
      <c r="A739" s="6"/>
      <c r="B739" s="2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3.2" x14ac:dyDescent="0.25">
      <c r="A740" s="6"/>
      <c r="B740" s="2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3.2" x14ac:dyDescent="0.25">
      <c r="A741" s="6"/>
      <c r="B741" s="2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3.2" x14ac:dyDescent="0.25">
      <c r="A742" s="6"/>
      <c r="B742" s="2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3.2" x14ac:dyDescent="0.25">
      <c r="A743" s="6"/>
      <c r="B743" s="2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3.2" x14ac:dyDescent="0.25">
      <c r="A744" s="6"/>
      <c r="B744" s="2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3.2" x14ac:dyDescent="0.25">
      <c r="A745" s="6"/>
      <c r="B745" s="2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3.2" x14ac:dyDescent="0.25">
      <c r="A746" s="6"/>
      <c r="B746" s="2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3.2" x14ac:dyDescent="0.25">
      <c r="A747" s="6"/>
      <c r="B747" s="2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3.2" x14ac:dyDescent="0.25">
      <c r="A748" s="6"/>
      <c r="B748" s="2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3.2" x14ac:dyDescent="0.25">
      <c r="A749" s="6"/>
      <c r="B749" s="2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3.2" x14ac:dyDescent="0.25">
      <c r="A750" s="6"/>
      <c r="B750" s="2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3.2" x14ac:dyDescent="0.25">
      <c r="A751" s="6"/>
      <c r="B751" s="2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3.2" x14ac:dyDescent="0.25">
      <c r="A752" s="6"/>
      <c r="B752" s="2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3.2" x14ac:dyDescent="0.25">
      <c r="A753" s="6"/>
      <c r="B753" s="2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3.2" x14ac:dyDescent="0.25">
      <c r="A754" s="6"/>
      <c r="B754" s="2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3.2" x14ac:dyDescent="0.25">
      <c r="A755" s="6"/>
      <c r="B755" s="2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3.2" x14ac:dyDescent="0.25">
      <c r="A756" s="6"/>
      <c r="B756" s="2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3.2" x14ac:dyDescent="0.25">
      <c r="A757" s="6"/>
      <c r="B757" s="2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3.2" x14ac:dyDescent="0.25">
      <c r="A758" s="6"/>
      <c r="B758" s="2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3.2" x14ac:dyDescent="0.25">
      <c r="A759" s="6"/>
      <c r="B759" s="2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3.2" x14ac:dyDescent="0.25">
      <c r="A760" s="6"/>
      <c r="B760" s="2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3.2" x14ac:dyDescent="0.25">
      <c r="A761" s="6"/>
      <c r="B761" s="2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3.2" x14ac:dyDescent="0.25">
      <c r="A762" s="6"/>
      <c r="B762" s="2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3.2" x14ac:dyDescent="0.25">
      <c r="A763" s="6"/>
      <c r="B763" s="2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3.2" x14ac:dyDescent="0.25">
      <c r="A764" s="6"/>
      <c r="B764" s="2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3.2" x14ac:dyDescent="0.25">
      <c r="A765" s="6"/>
      <c r="B765" s="2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3.2" x14ac:dyDescent="0.25">
      <c r="A766" s="6"/>
      <c r="B766" s="2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3.2" x14ac:dyDescent="0.25">
      <c r="A767" s="6"/>
      <c r="B767" s="2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3.2" x14ac:dyDescent="0.25">
      <c r="A768" s="6"/>
      <c r="B768" s="2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3.2" x14ac:dyDescent="0.25">
      <c r="A769" s="6"/>
      <c r="B769" s="2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3.2" x14ac:dyDescent="0.25">
      <c r="A770" s="6"/>
      <c r="B770" s="2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3.2" x14ac:dyDescent="0.25">
      <c r="A771" s="6"/>
      <c r="B771" s="2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3.2" x14ac:dyDescent="0.25">
      <c r="A772" s="6"/>
      <c r="B772" s="2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3.2" x14ac:dyDescent="0.25">
      <c r="A773" s="6"/>
      <c r="B773" s="2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3.2" x14ac:dyDescent="0.25">
      <c r="A774" s="6"/>
      <c r="B774" s="2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3.2" x14ac:dyDescent="0.25">
      <c r="A775" s="6"/>
      <c r="B775" s="2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3.2" x14ac:dyDescent="0.25">
      <c r="A776" s="6"/>
      <c r="B776" s="2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3.2" x14ac:dyDescent="0.25">
      <c r="A777" s="6"/>
      <c r="B777" s="2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3.2" x14ac:dyDescent="0.25">
      <c r="A778" s="6"/>
      <c r="B778" s="2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3.2" x14ac:dyDescent="0.25">
      <c r="A779" s="6"/>
      <c r="B779" s="2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3.2" x14ac:dyDescent="0.25">
      <c r="A780" s="6"/>
      <c r="B780" s="2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3.2" x14ac:dyDescent="0.25">
      <c r="A781" s="6"/>
      <c r="B781" s="2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3.2" x14ac:dyDescent="0.25">
      <c r="A782" s="6"/>
      <c r="B782" s="2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3.2" x14ac:dyDescent="0.25">
      <c r="A783" s="6"/>
      <c r="B783" s="2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3.2" x14ac:dyDescent="0.25">
      <c r="A784" s="6"/>
      <c r="B784" s="2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3.2" x14ac:dyDescent="0.25">
      <c r="A785" s="6"/>
      <c r="B785" s="2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3.2" x14ac:dyDescent="0.25">
      <c r="A786" s="6"/>
      <c r="B786" s="2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3.2" x14ac:dyDescent="0.25">
      <c r="A787" s="6"/>
      <c r="B787" s="2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3.2" x14ac:dyDescent="0.25">
      <c r="A788" s="6"/>
      <c r="B788" s="2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3.2" x14ac:dyDescent="0.25">
      <c r="A789" s="6"/>
      <c r="B789" s="2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3.2" x14ac:dyDescent="0.25">
      <c r="A790" s="6"/>
      <c r="B790" s="2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3.2" x14ac:dyDescent="0.25">
      <c r="A791" s="6"/>
      <c r="B791" s="2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3.2" x14ac:dyDescent="0.25">
      <c r="A792" s="6"/>
      <c r="B792" s="2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3.2" x14ac:dyDescent="0.25">
      <c r="A793" s="6"/>
      <c r="B793" s="2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3.2" x14ac:dyDescent="0.25">
      <c r="A794" s="6"/>
      <c r="B794" s="2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3.2" x14ac:dyDescent="0.25">
      <c r="A795" s="6"/>
      <c r="B795" s="2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3.2" x14ac:dyDescent="0.25">
      <c r="A796" s="6"/>
      <c r="B796" s="2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3.2" x14ac:dyDescent="0.25">
      <c r="A797" s="6"/>
      <c r="B797" s="2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3.2" x14ac:dyDescent="0.25">
      <c r="A798" s="6"/>
      <c r="B798" s="2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3.2" x14ac:dyDescent="0.25">
      <c r="A799" s="6"/>
      <c r="B799" s="2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3.2" x14ac:dyDescent="0.25">
      <c r="A800" s="6"/>
      <c r="B800" s="2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3.2" x14ac:dyDescent="0.25">
      <c r="A801" s="6"/>
      <c r="B801" s="2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3.2" x14ac:dyDescent="0.25">
      <c r="A802" s="6"/>
      <c r="B802" s="2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3.2" x14ac:dyDescent="0.25">
      <c r="A803" s="6"/>
      <c r="B803" s="2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3.2" x14ac:dyDescent="0.25">
      <c r="A804" s="6"/>
      <c r="B804" s="2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3.2" x14ac:dyDescent="0.25">
      <c r="A805" s="6"/>
      <c r="B805" s="2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3.2" x14ac:dyDescent="0.25">
      <c r="A806" s="6"/>
      <c r="B806" s="2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3.2" x14ac:dyDescent="0.25">
      <c r="A807" s="6"/>
      <c r="B807" s="2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3.2" x14ac:dyDescent="0.25">
      <c r="A808" s="6"/>
      <c r="B808" s="2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3.2" x14ac:dyDescent="0.25">
      <c r="A809" s="6"/>
      <c r="B809" s="2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3.2" x14ac:dyDescent="0.25">
      <c r="A810" s="6"/>
      <c r="B810" s="2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3.2" x14ac:dyDescent="0.25">
      <c r="A811" s="6"/>
      <c r="B811" s="2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3.2" x14ac:dyDescent="0.25">
      <c r="A812" s="6"/>
      <c r="B812" s="2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3.2" x14ac:dyDescent="0.25">
      <c r="A813" s="6"/>
      <c r="B813" s="2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3.2" x14ac:dyDescent="0.25">
      <c r="A814" s="6"/>
      <c r="B814" s="2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3.2" x14ac:dyDescent="0.25">
      <c r="A815" s="6"/>
      <c r="B815" s="2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3.2" x14ac:dyDescent="0.25">
      <c r="A816" s="6"/>
      <c r="B816" s="2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3.2" x14ac:dyDescent="0.25">
      <c r="A817" s="6"/>
      <c r="B817" s="2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3.2" x14ac:dyDescent="0.25">
      <c r="A818" s="6"/>
      <c r="B818" s="2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3.2" x14ac:dyDescent="0.25">
      <c r="A819" s="6"/>
      <c r="B819" s="2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3.2" x14ac:dyDescent="0.25">
      <c r="A820" s="6"/>
      <c r="B820" s="2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3.2" x14ac:dyDescent="0.25">
      <c r="A821" s="6"/>
      <c r="B821" s="2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3.2" x14ac:dyDescent="0.25">
      <c r="A822" s="6"/>
      <c r="B822" s="2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3.2" x14ac:dyDescent="0.25">
      <c r="A823" s="6"/>
      <c r="B823" s="2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3.2" x14ac:dyDescent="0.25">
      <c r="A824" s="6"/>
      <c r="B824" s="2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3.2" x14ac:dyDescent="0.25">
      <c r="A825" s="6"/>
      <c r="B825" s="2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3.2" x14ac:dyDescent="0.25">
      <c r="A826" s="6"/>
      <c r="B826" s="2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3.2" x14ac:dyDescent="0.25">
      <c r="A827" s="6"/>
      <c r="B827" s="2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3.2" x14ac:dyDescent="0.25">
      <c r="A828" s="6"/>
      <c r="B828" s="2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3.2" x14ac:dyDescent="0.25">
      <c r="A829" s="6"/>
      <c r="B829" s="2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3.2" x14ac:dyDescent="0.25">
      <c r="A830" s="6"/>
      <c r="B830" s="2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3.2" x14ac:dyDescent="0.25">
      <c r="A831" s="6"/>
      <c r="B831" s="2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3.2" x14ac:dyDescent="0.25">
      <c r="A832" s="6"/>
      <c r="B832" s="2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3.2" x14ac:dyDescent="0.25">
      <c r="A833" s="6"/>
      <c r="B833" s="2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3.2" x14ac:dyDescent="0.25">
      <c r="A834" s="6"/>
      <c r="B834" s="2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3.2" x14ac:dyDescent="0.25">
      <c r="A835" s="6"/>
      <c r="B835" s="2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3.2" x14ac:dyDescent="0.25">
      <c r="A836" s="6"/>
      <c r="B836" s="2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3.2" x14ac:dyDescent="0.25">
      <c r="A837" s="6"/>
      <c r="B837" s="2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3.2" x14ac:dyDescent="0.25">
      <c r="A838" s="6"/>
      <c r="B838" s="2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3.2" x14ac:dyDescent="0.25">
      <c r="A839" s="6"/>
      <c r="B839" s="2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3.2" x14ac:dyDescent="0.25">
      <c r="A840" s="6"/>
      <c r="B840" s="2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3.2" x14ac:dyDescent="0.25">
      <c r="A841" s="6"/>
      <c r="B841" s="2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3.2" x14ac:dyDescent="0.25">
      <c r="A842" s="6"/>
      <c r="B842" s="2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3.2" x14ac:dyDescent="0.25">
      <c r="A843" s="6"/>
      <c r="B843" s="2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3.2" x14ac:dyDescent="0.25">
      <c r="A844" s="6"/>
      <c r="B844" s="2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3.2" x14ac:dyDescent="0.25">
      <c r="A845" s="6"/>
      <c r="B845" s="2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3.2" x14ac:dyDescent="0.25">
      <c r="A846" s="6"/>
      <c r="B846" s="2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3.2" x14ac:dyDescent="0.25">
      <c r="A847" s="6"/>
      <c r="B847" s="2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3.2" x14ac:dyDescent="0.25">
      <c r="A848" s="6"/>
      <c r="B848" s="2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3.2" x14ac:dyDescent="0.25">
      <c r="A849" s="6"/>
      <c r="B849" s="2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3.2" x14ac:dyDescent="0.25">
      <c r="A850" s="6"/>
      <c r="B850" s="2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3.2" x14ac:dyDescent="0.25">
      <c r="A851" s="6"/>
      <c r="B851" s="2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3.2" x14ac:dyDescent="0.25">
      <c r="A852" s="6"/>
      <c r="B852" s="2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3.2" x14ac:dyDescent="0.25">
      <c r="A853" s="6"/>
      <c r="B853" s="2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3.2" x14ac:dyDescent="0.25">
      <c r="A854" s="6"/>
      <c r="B854" s="2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3.2" x14ac:dyDescent="0.25">
      <c r="A855" s="6"/>
      <c r="B855" s="2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3.2" x14ac:dyDescent="0.25">
      <c r="A856" s="6"/>
      <c r="B856" s="2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3.2" x14ac:dyDescent="0.25">
      <c r="A857" s="6"/>
      <c r="B857" s="2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3.2" x14ac:dyDescent="0.25">
      <c r="A858" s="6"/>
      <c r="B858" s="2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3.2" x14ac:dyDescent="0.25">
      <c r="A859" s="6"/>
      <c r="B859" s="2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3.2" x14ac:dyDescent="0.25">
      <c r="A860" s="6"/>
      <c r="B860" s="2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3.2" x14ac:dyDescent="0.25">
      <c r="A861" s="6"/>
      <c r="B861" s="2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3.2" x14ac:dyDescent="0.25">
      <c r="A862" s="6"/>
      <c r="B862" s="2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3.2" x14ac:dyDescent="0.25">
      <c r="A863" s="6"/>
      <c r="B863" s="2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3.2" x14ac:dyDescent="0.25">
      <c r="A864" s="6"/>
      <c r="B864" s="2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3.2" x14ac:dyDescent="0.25">
      <c r="A865" s="6"/>
      <c r="B865" s="2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3.2" x14ac:dyDescent="0.25">
      <c r="A866" s="6"/>
      <c r="B866" s="2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3.2" x14ac:dyDescent="0.25">
      <c r="A867" s="6"/>
      <c r="B867" s="2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3.2" x14ac:dyDescent="0.25">
      <c r="A868" s="6"/>
      <c r="B868" s="2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3.2" x14ac:dyDescent="0.25">
      <c r="A869" s="6"/>
      <c r="B869" s="2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3.2" x14ac:dyDescent="0.25">
      <c r="A870" s="6"/>
      <c r="B870" s="2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3.2" x14ac:dyDescent="0.25">
      <c r="A871" s="6"/>
      <c r="B871" s="2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3.2" x14ac:dyDescent="0.25">
      <c r="A872" s="6"/>
      <c r="B872" s="2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3.2" x14ac:dyDescent="0.25">
      <c r="A873" s="6"/>
      <c r="B873" s="2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3.2" x14ac:dyDescent="0.25">
      <c r="A874" s="6"/>
      <c r="B874" s="2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3.2" x14ac:dyDescent="0.25">
      <c r="A875" s="6"/>
      <c r="B875" s="2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3.2" x14ac:dyDescent="0.25">
      <c r="A876" s="6"/>
      <c r="B876" s="2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3.2" x14ac:dyDescent="0.25">
      <c r="A877" s="6"/>
      <c r="B877" s="2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3.2" x14ac:dyDescent="0.25">
      <c r="A878" s="6"/>
      <c r="B878" s="2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3.2" x14ac:dyDescent="0.25">
      <c r="A879" s="6"/>
      <c r="B879" s="2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3.2" x14ac:dyDescent="0.25">
      <c r="A880" s="6"/>
      <c r="B880" s="2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3.2" x14ac:dyDescent="0.25">
      <c r="A881" s="6"/>
      <c r="B881" s="2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3.2" x14ac:dyDescent="0.25">
      <c r="A882" s="6"/>
      <c r="B882" s="2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3.2" x14ac:dyDescent="0.25">
      <c r="A883" s="6"/>
      <c r="B883" s="2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3.2" x14ac:dyDescent="0.25">
      <c r="A884" s="6"/>
      <c r="B884" s="2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3.2" x14ac:dyDescent="0.25">
      <c r="A885" s="6"/>
      <c r="B885" s="2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3.2" x14ac:dyDescent="0.25">
      <c r="A886" s="6"/>
      <c r="B886" s="2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3.2" x14ac:dyDescent="0.25">
      <c r="A887" s="6"/>
      <c r="B887" s="2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3.2" x14ac:dyDescent="0.25">
      <c r="A888" s="6"/>
      <c r="B888" s="2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3.2" x14ac:dyDescent="0.25">
      <c r="A889" s="6"/>
      <c r="B889" s="2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3.2" x14ac:dyDescent="0.25">
      <c r="A890" s="6"/>
      <c r="B890" s="2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3.2" x14ac:dyDescent="0.25">
      <c r="A891" s="6"/>
      <c r="B891" s="2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3.2" x14ac:dyDescent="0.25">
      <c r="A892" s="6"/>
      <c r="B892" s="2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3.2" x14ac:dyDescent="0.25">
      <c r="A893" s="6"/>
      <c r="B893" s="2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3.2" x14ac:dyDescent="0.25">
      <c r="A894" s="6"/>
      <c r="B894" s="2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3.2" x14ac:dyDescent="0.25">
      <c r="A895" s="6"/>
      <c r="B895" s="2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3.2" x14ac:dyDescent="0.25">
      <c r="A896" s="6"/>
      <c r="B896" s="2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3.2" x14ac:dyDescent="0.25">
      <c r="A897" s="6"/>
      <c r="B897" s="2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3.2" x14ac:dyDescent="0.25">
      <c r="A898" s="6"/>
      <c r="B898" s="2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3.2" x14ac:dyDescent="0.25">
      <c r="A899" s="6"/>
      <c r="B899" s="2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3.2" x14ac:dyDescent="0.25">
      <c r="A900" s="6"/>
      <c r="B900" s="2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3.2" x14ac:dyDescent="0.25">
      <c r="A901" s="6"/>
      <c r="B901" s="2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3.2" x14ac:dyDescent="0.25">
      <c r="A902" s="6"/>
      <c r="B902" s="2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3.2" x14ac:dyDescent="0.25">
      <c r="A903" s="6"/>
      <c r="B903" s="2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3.2" x14ac:dyDescent="0.25">
      <c r="A904" s="6"/>
      <c r="B904" s="2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3.2" x14ac:dyDescent="0.25">
      <c r="A905" s="6"/>
      <c r="B905" s="2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3.2" x14ac:dyDescent="0.25">
      <c r="A906" s="6"/>
      <c r="B906" s="2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3.2" x14ac:dyDescent="0.25">
      <c r="A907" s="6"/>
      <c r="B907" s="2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3.2" x14ac:dyDescent="0.25">
      <c r="A908" s="6"/>
      <c r="B908" s="2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3.2" x14ac:dyDescent="0.25">
      <c r="A909" s="6"/>
      <c r="B909" s="2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3.2" x14ac:dyDescent="0.25">
      <c r="A910" s="6"/>
      <c r="B910" s="2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3.2" x14ac:dyDescent="0.25">
      <c r="A911" s="6"/>
      <c r="B911" s="2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3.2" x14ac:dyDescent="0.25">
      <c r="A912" s="6"/>
      <c r="B912" s="2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3.2" x14ac:dyDescent="0.25">
      <c r="A913" s="6"/>
      <c r="B913" s="2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3.2" x14ac:dyDescent="0.25">
      <c r="A914" s="6"/>
      <c r="B914" s="2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3.2" x14ac:dyDescent="0.25">
      <c r="A915" s="6"/>
      <c r="B915" s="2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3.2" x14ac:dyDescent="0.25">
      <c r="A916" s="6"/>
      <c r="B916" s="2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3.2" x14ac:dyDescent="0.25">
      <c r="A917" s="6"/>
      <c r="B917" s="2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3.2" x14ac:dyDescent="0.25">
      <c r="A918" s="6"/>
      <c r="B918" s="2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3.2" x14ac:dyDescent="0.25">
      <c r="A919" s="6"/>
      <c r="B919" s="2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3.2" x14ac:dyDescent="0.25">
      <c r="A920" s="6"/>
      <c r="B920" s="2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3.2" x14ac:dyDescent="0.25">
      <c r="A921" s="6"/>
      <c r="B921" s="2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3.2" x14ac:dyDescent="0.25">
      <c r="A922" s="6"/>
      <c r="B922" s="2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3.2" x14ac:dyDescent="0.25">
      <c r="A923" s="6"/>
      <c r="B923" s="2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3.2" x14ac:dyDescent="0.25">
      <c r="A924" s="6"/>
      <c r="B924" s="2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3.2" x14ac:dyDescent="0.25">
      <c r="A925" s="6"/>
      <c r="B925" s="2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3.2" x14ac:dyDescent="0.25">
      <c r="A926" s="6"/>
      <c r="B926" s="2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3.2" x14ac:dyDescent="0.25">
      <c r="A927" s="6"/>
      <c r="B927" s="2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3.2" x14ac:dyDescent="0.25">
      <c r="A928" s="6"/>
      <c r="B928" s="2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3.2" x14ac:dyDescent="0.25">
      <c r="A929" s="6"/>
      <c r="B929" s="2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3.2" x14ac:dyDescent="0.25">
      <c r="A930" s="6"/>
      <c r="B930" s="2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3.2" x14ac:dyDescent="0.25">
      <c r="A931" s="6"/>
      <c r="B931" s="2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3.2" x14ac:dyDescent="0.25">
      <c r="A932" s="6"/>
      <c r="B932" s="2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3.2" x14ac:dyDescent="0.25">
      <c r="A933" s="6"/>
      <c r="B933" s="2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3.2" x14ac:dyDescent="0.25">
      <c r="A934" s="6"/>
      <c r="B934" s="2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3.2" x14ac:dyDescent="0.25">
      <c r="A935" s="6"/>
      <c r="B935" s="2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3.2" x14ac:dyDescent="0.25">
      <c r="A936" s="6"/>
      <c r="B936" s="2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3.2" x14ac:dyDescent="0.25">
      <c r="A937" s="6"/>
      <c r="B937" s="2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3.2" x14ac:dyDescent="0.25">
      <c r="A938" s="6"/>
      <c r="B938" s="2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3.2" x14ac:dyDescent="0.25">
      <c r="A939" s="6"/>
      <c r="B939" s="2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3.2" x14ac:dyDescent="0.25">
      <c r="A940" s="6"/>
      <c r="B940" s="2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3.2" x14ac:dyDescent="0.25">
      <c r="A941" s="6"/>
      <c r="B941" s="2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3.2" x14ac:dyDescent="0.25">
      <c r="A942" s="6"/>
      <c r="B942" s="2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3.2" x14ac:dyDescent="0.25">
      <c r="A943" s="6"/>
      <c r="B943" s="2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3.2" x14ac:dyDescent="0.25">
      <c r="A944" s="6"/>
      <c r="B944" s="2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3.2" x14ac:dyDescent="0.25">
      <c r="A945" s="6"/>
      <c r="B945" s="2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3.2" x14ac:dyDescent="0.25">
      <c r="A946" s="6"/>
      <c r="B946" s="2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3.2" x14ac:dyDescent="0.25">
      <c r="A947" s="6"/>
      <c r="B947" s="2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3.2" x14ac:dyDescent="0.25">
      <c r="A948" s="6"/>
      <c r="B948" s="2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3.2" x14ac:dyDescent="0.25">
      <c r="A949" s="6"/>
      <c r="B949" s="2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3.2" x14ac:dyDescent="0.25">
      <c r="A950" s="6"/>
      <c r="B950" s="2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3.2" x14ac:dyDescent="0.25">
      <c r="A951" s="6"/>
      <c r="B951" s="2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3.2" x14ac:dyDescent="0.25">
      <c r="A952" s="6"/>
      <c r="B952" s="2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3.2" x14ac:dyDescent="0.25">
      <c r="A953" s="6"/>
      <c r="B953" s="2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3.2" x14ac:dyDescent="0.25">
      <c r="A954" s="6"/>
      <c r="B954" s="2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3.2" x14ac:dyDescent="0.25">
      <c r="A955" s="6"/>
      <c r="B955" s="2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3.2" x14ac:dyDescent="0.25">
      <c r="A956" s="6"/>
      <c r="B956" s="2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3.2" x14ac:dyDescent="0.25">
      <c r="A957" s="6"/>
      <c r="B957" s="2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3.2" x14ac:dyDescent="0.25">
      <c r="A958" s="6"/>
      <c r="B958" s="2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3.2" x14ac:dyDescent="0.25">
      <c r="A959" s="6"/>
      <c r="B959" s="2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3.2" x14ac:dyDescent="0.25">
      <c r="A960" s="6"/>
      <c r="B960" s="2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3.2" x14ac:dyDescent="0.25">
      <c r="A961" s="6"/>
      <c r="B961" s="2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3.2" x14ac:dyDescent="0.25">
      <c r="A962" s="6"/>
      <c r="B962" s="2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3.2" x14ac:dyDescent="0.25">
      <c r="A963" s="6"/>
      <c r="B963" s="2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3.2" x14ac:dyDescent="0.25">
      <c r="A964" s="6"/>
      <c r="B964" s="2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3.2" x14ac:dyDescent="0.25">
      <c r="A965" s="6"/>
      <c r="B965" s="2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3.2" x14ac:dyDescent="0.25">
      <c r="A966" s="6"/>
      <c r="B966" s="2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3.2" x14ac:dyDescent="0.25">
      <c r="A967" s="6"/>
      <c r="B967" s="2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3.2" x14ac:dyDescent="0.25">
      <c r="A968" s="6"/>
      <c r="B968" s="2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3.2" x14ac:dyDescent="0.25">
      <c r="A969" s="6"/>
      <c r="B969" s="2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3.2" x14ac:dyDescent="0.25">
      <c r="A970" s="6"/>
      <c r="B970" s="2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3.2" x14ac:dyDescent="0.25">
      <c r="A971" s="6"/>
      <c r="B971" s="2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3.2" x14ac:dyDescent="0.25">
      <c r="A972" s="6"/>
      <c r="B972" s="2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3.2" x14ac:dyDescent="0.25">
      <c r="A973" s="6"/>
      <c r="B973" s="2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3.2" x14ac:dyDescent="0.25">
      <c r="A974" s="6"/>
      <c r="B974" s="2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3.2" x14ac:dyDescent="0.25">
      <c r="A975" s="6"/>
      <c r="B975" s="2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3.2" x14ac:dyDescent="0.25">
      <c r="A976" s="6"/>
      <c r="B976" s="2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3.2" x14ac:dyDescent="0.25">
      <c r="A977" s="6"/>
      <c r="B977" s="2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3.2" x14ac:dyDescent="0.25">
      <c r="A978" s="6"/>
      <c r="B978" s="2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3.2" x14ac:dyDescent="0.25">
      <c r="A979" s="6"/>
      <c r="B979" s="2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3.2" x14ac:dyDescent="0.25">
      <c r="A980" s="6"/>
      <c r="B980" s="2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3.2" x14ac:dyDescent="0.25">
      <c r="A981" s="6"/>
      <c r="B981" s="2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3.2" x14ac:dyDescent="0.25">
      <c r="A982" s="6"/>
      <c r="B982" s="2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3.2" x14ac:dyDescent="0.25">
      <c r="A983" s="6"/>
      <c r="B983" s="2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3.2" x14ac:dyDescent="0.25">
      <c r="A984" s="6"/>
      <c r="B984" s="2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3.2" x14ac:dyDescent="0.25">
      <c r="A985" s="6"/>
      <c r="B985" s="2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3.2" x14ac:dyDescent="0.25">
      <c r="A986" s="6"/>
      <c r="B986" s="2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3.2" x14ac:dyDescent="0.25">
      <c r="A987" s="6"/>
      <c r="B987" s="2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3.2" x14ac:dyDescent="0.25">
      <c r="A988" s="6"/>
      <c r="B988" s="2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3.2" x14ac:dyDescent="0.25">
      <c r="A989" s="6"/>
      <c r="B989" s="2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3.2" x14ac:dyDescent="0.25">
      <c r="A990" s="6"/>
      <c r="B990" s="2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3.2" x14ac:dyDescent="0.25">
      <c r="A991" s="6"/>
      <c r="B991" s="2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3.2" x14ac:dyDescent="0.25">
      <c r="A992" s="6"/>
      <c r="B992" s="2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3.2" x14ac:dyDescent="0.25">
      <c r="A993" s="6"/>
      <c r="B993" s="2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3.2" x14ac:dyDescent="0.25">
      <c r="A994" s="6"/>
      <c r="B994" s="2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3.2" x14ac:dyDescent="0.25">
      <c r="A995" s="6"/>
      <c r="B995" s="2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3.2" x14ac:dyDescent="0.25">
      <c r="A996" s="6"/>
      <c r="B996" s="2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3.2" x14ac:dyDescent="0.25">
      <c r="A997" s="6"/>
      <c r="B997" s="2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3.2" x14ac:dyDescent="0.25">
      <c r="A998" s="6"/>
      <c r="B998" s="2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3.2" x14ac:dyDescent="0.25">
      <c r="A999" s="6"/>
      <c r="B999" s="2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</sheetData>
  <autoFilter ref="A1:M60" xr:uid="{00000000-0009-0000-0000-000000000000}">
    <filterColumn colId="12">
      <filters blank="1"/>
    </filterColumn>
  </autoFilter>
  <conditionalFormatting sqref="M3">
    <cfRule type="containsBlanks" dxfId="0" priority="1">
      <formula>LEN(TRIM(M3))=0</formula>
    </cfRule>
  </conditionalFormatting>
  <hyperlinks>
    <hyperlink ref="M2" r:id="rId1" xr:uid="{00000000-0004-0000-0000-000000000000}"/>
    <hyperlink ref="M3" r:id="rId2" xr:uid="{00000000-0004-0000-0000-000001000000}"/>
    <hyperlink ref="M5" r:id="rId3" xr:uid="{00000000-0004-0000-0000-000002000000}"/>
    <hyperlink ref="M7" r:id="rId4" xr:uid="{00000000-0004-0000-0000-000003000000}"/>
    <hyperlink ref="M10" r:id="rId5" xr:uid="{00000000-0004-0000-0000-000004000000}"/>
    <hyperlink ref="M11" r:id="rId6" xr:uid="{00000000-0004-0000-0000-000005000000}"/>
    <hyperlink ref="M12" r:id="rId7" xr:uid="{00000000-0004-0000-0000-000006000000}"/>
    <hyperlink ref="M13" r:id="rId8" xr:uid="{00000000-0004-0000-0000-000007000000}"/>
    <hyperlink ref="M14" r:id="rId9" xr:uid="{00000000-0004-0000-0000-000008000000}"/>
    <hyperlink ref="M15" r:id="rId10" xr:uid="{00000000-0004-0000-0000-000009000000}"/>
    <hyperlink ref="M17" r:id="rId11" xr:uid="{00000000-0004-0000-0000-00000A000000}"/>
    <hyperlink ref="M18" r:id="rId12" xr:uid="{00000000-0004-0000-0000-00000B000000}"/>
    <hyperlink ref="M22" r:id="rId13" xr:uid="{00000000-0004-0000-0000-00000C000000}"/>
    <hyperlink ref="M25" r:id="rId14" xr:uid="{00000000-0004-0000-0000-00000D000000}"/>
    <hyperlink ref="M27" r:id="rId15" xr:uid="{00000000-0004-0000-0000-00000E000000}"/>
    <hyperlink ref="M28" r:id="rId16" xr:uid="{00000000-0004-0000-0000-00000F000000}"/>
    <hyperlink ref="M29" r:id="rId17" xr:uid="{00000000-0004-0000-0000-000010000000}"/>
    <hyperlink ref="M30" r:id="rId18" xr:uid="{00000000-0004-0000-0000-000011000000}"/>
    <hyperlink ref="M32" r:id="rId19" xr:uid="{00000000-0004-0000-0000-000012000000}"/>
    <hyperlink ref="M33" r:id="rId20" xr:uid="{00000000-0004-0000-0000-000013000000}"/>
    <hyperlink ref="M34" r:id="rId21" xr:uid="{00000000-0004-0000-0000-000014000000}"/>
    <hyperlink ref="M35" r:id="rId22" xr:uid="{00000000-0004-0000-0000-000015000000}"/>
    <hyperlink ref="M36" r:id="rId23" xr:uid="{00000000-0004-0000-0000-000016000000}"/>
    <hyperlink ref="M37" r:id="rId24" xr:uid="{00000000-0004-0000-0000-000017000000}"/>
    <hyperlink ref="M39" r:id="rId25" xr:uid="{00000000-0004-0000-0000-000018000000}"/>
    <hyperlink ref="M40" r:id="rId26" xr:uid="{00000000-0004-0000-0000-000019000000}"/>
    <hyperlink ref="M41" r:id="rId27" xr:uid="{00000000-0004-0000-0000-00001A000000}"/>
    <hyperlink ref="M42" r:id="rId28" xr:uid="{00000000-0004-0000-0000-00001B000000}"/>
    <hyperlink ref="M43" r:id="rId29" xr:uid="{00000000-0004-0000-0000-00001C000000}"/>
    <hyperlink ref="M44" r:id="rId30" xr:uid="{00000000-0004-0000-0000-00001D000000}"/>
    <hyperlink ref="M46" r:id="rId31" xr:uid="{00000000-0004-0000-0000-00001E000000}"/>
    <hyperlink ref="M48" r:id="rId32" xr:uid="{00000000-0004-0000-0000-00001F000000}"/>
    <hyperlink ref="M50" r:id="rId33" xr:uid="{00000000-0004-0000-0000-000020000000}"/>
    <hyperlink ref="M51" r:id="rId34" xr:uid="{00000000-0004-0000-0000-000021000000}"/>
    <hyperlink ref="M52" r:id="rId35" xr:uid="{00000000-0004-0000-0000-000022000000}"/>
    <hyperlink ref="M53" r:id="rId36" xr:uid="{00000000-0004-0000-0000-000023000000}"/>
    <hyperlink ref="M57" r:id="rId37" xr:uid="{00000000-0004-0000-0000-00002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Srihari</dc:creator>
  <cp:lastModifiedBy>SRI HARI</cp:lastModifiedBy>
  <dcterms:created xsi:type="dcterms:W3CDTF">2025-12-01T03:37:45Z</dcterms:created>
  <dcterms:modified xsi:type="dcterms:W3CDTF">2025-12-01T03:37:45Z</dcterms:modified>
</cp:coreProperties>
</file>